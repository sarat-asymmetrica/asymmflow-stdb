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24df111c5f0506d/2020 onwards/Offers/Endress Hauser Offer/"/>
    </mc:Choice>
  </mc:AlternateContent>
  <xr:revisionPtr revIDLastSave="4017" documentId="13_ncr:1_{3246872A-3DCD-4AC9-8CC6-9B0DAF5026D8}" xr6:coauthVersionLast="47" xr6:coauthVersionMax="47" xr10:uidLastSave="{24D6A358-4EA9-44BF-B31D-E1ADF933D359}"/>
  <bookViews>
    <workbookView xWindow="-120" yWindow="-120" windowWidth="29040" windowHeight="15720" xr2:uid="{23B644A6-98E4-4B14-8C0E-CBE63BF501DE}"/>
  </bookViews>
  <sheets>
    <sheet name="2025" sheetId="4" r:id="rId1"/>
    <sheet name="E+H" sheetId="5" r:id="rId2"/>
    <sheet name="GIC" sheetId="6" r:id="rId3"/>
    <sheet name="Other brands" sheetId="7" r:id="rId4"/>
    <sheet name="Summary" sheetId="3" r:id="rId5"/>
  </sheets>
  <definedNames>
    <definedName name="_xlnm._FilterDatabase" localSheetId="0" hidden="1">'2025'!$A$1:$R$436</definedName>
    <definedName name="_xlnm._FilterDatabase" localSheetId="1" hidden="1">'E+H'!$A$1:$P$181</definedName>
    <definedName name="_xlnm._FilterDatabase" localSheetId="4" hidden="1">Summary!$A$1:$H$67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8" i="5" l="1"/>
  <c r="N218" i="5"/>
  <c r="J218" i="5" l="1"/>
  <c r="N219" i="5"/>
  <c r="M219" i="5"/>
  <c r="J219" i="5" l="1"/>
  <c r="N222" i="5"/>
  <c r="M222" i="5"/>
  <c r="N221" i="5" l="1"/>
  <c r="M221" i="5"/>
  <c r="M217" i="5" l="1"/>
  <c r="N217" i="5"/>
  <c r="M215" i="5" l="1"/>
  <c r="N215" i="5"/>
  <c r="J215" i="5"/>
  <c r="N216" i="5" l="1"/>
  <c r="M216" i="5"/>
  <c r="M214" i="5" l="1"/>
  <c r="N214" i="5" s="1"/>
  <c r="M213" i="5"/>
  <c r="N213" i="5"/>
  <c r="M212" i="5"/>
  <c r="N212" i="5" s="1"/>
  <c r="M211" i="5"/>
  <c r="N211" i="5"/>
  <c r="M210" i="5"/>
  <c r="N210" i="5"/>
  <c r="M209" i="5"/>
  <c r="N209" i="5"/>
  <c r="M208" i="5"/>
  <c r="N208" i="5"/>
  <c r="M207" i="5"/>
  <c r="N207" i="5"/>
  <c r="J248" i="5"/>
  <c r="M261" i="5"/>
  <c r="N261" i="5"/>
  <c r="J261" i="5"/>
  <c r="M259" i="5"/>
  <c r="N259" i="5"/>
  <c r="J259" i="5"/>
  <c r="M258" i="5"/>
  <c r="N258" i="5"/>
  <c r="J258" i="5"/>
  <c r="M257" i="5"/>
  <c r="N257" i="5" s="1"/>
  <c r="J257" i="5"/>
  <c r="M256" i="5"/>
  <c r="N256" i="5"/>
  <c r="J256" i="5"/>
  <c r="M255" i="5"/>
  <c r="N255" i="5" s="1"/>
  <c r="N253" i="5"/>
  <c r="M253" i="5"/>
  <c r="M251" i="5"/>
  <c r="N251" i="5"/>
  <c r="J251" i="5"/>
  <c r="N250" i="5"/>
  <c r="M250" i="5"/>
  <c r="K250" i="5"/>
  <c r="J250" i="5"/>
  <c r="M249" i="5"/>
  <c r="N249" i="5" s="1"/>
  <c r="J249" i="5"/>
  <c r="N260" i="5"/>
  <c r="M260" i="5"/>
  <c r="N254" i="5" l="1"/>
  <c r="M254" i="5"/>
  <c r="M241" i="5" l="1"/>
  <c r="N241" i="5" s="1"/>
  <c r="M242" i="5"/>
  <c r="N242" i="5" s="1"/>
  <c r="M243" i="5"/>
  <c r="N243" i="5" s="1"/>
  <c r="M244" i="5"/>
  <c r="N244" i="5" s="1"/>
  <c r="M245" i="5"/>
  <c r="N245" i="5" s="1"/>
  <c r="M246" i="5"/>
  <c r="N246" i="5" s="1"/>
  <c r="M247" i="5"/>
  <c r="N247" i="5" s="1"/>
  <c r="M248" i="5"/>
  <c r="N248" i="5" s="1"/>
  <c r="M240" i="5"/>
  <c r="N240" i="5" s="1"/>
  <c r="M238" i="5"/>
  <c r="N238" i="5"/>
  <c r="M237" i="5"/>
  <c r="N237" i="5" s="1"/>
  <c r="M236" i="5"/>
  <c r="N236" i="5"/>
  <c r="N206" i="5"/>
  <c r="M205" i="5"/>
  <c r="N205" i="5" s="1"/>
  <c r="M206" i="5"/>
  <c r="M235" i="5"/>
  <c r="N235" i="5"/>
  <c r="M233" i="5"/>
  <c r="N233" i="5" s="1"/>
  <c r="M232" i="5"/>
  <c r="N232" i="5" s="1"/>
  <c r="M231" i="5"/>
  <c r="N231" i="5" s="1"/>
  <c r="N230" i="5"/>
  <c r="M230" i="5"/>
  <c r="M229" i="5"/>
  <c r="N229" i="5" s="1"/>
  <c r="M228" i="5"/>
  <c r="N228" i="5" s="1"/>
  <c r="M227" i="5"/>
  <c r="N227" i="5" s="1"/>
  <c r="N226" i="5"/>
  <c r="M226" i="5"/>
  <c r="N225" i="5"/>
  <c r="M225" i="5"/>
  <c r="M224" i="5"/>
  <c r="N224" i="5" s="1"/>
  <c r="M223" i="5"/>
  <c r="N223" i="5" s="1"/>
  <c r="M187" i="5"/>
  <c r="N187" i="5"/>
  <c r="M186" i="5"/>
  <c r="N186" i="5"/>
  <c r="M185" i="5"/>
  <c r="N185" i="5"/>
  <c r="M184" i="5"/>
  <c r="N184" i="5"/>
  <c r="M183" i="5"/>
  <c r="N183" i="5"/>
  <c r="M182" i="5"/>
  <c r="N182" i="5"/>
  <c r="O203" i="5"/>
  <c r="M181" i="5"/>
  <c r="N181" i="5"/>
  <c r="M180" i="5"/>
  <c r="N180" i="5"/>
  <c r="M179" i="5"/>
  <c r="N179" i="5"/>
  <c r="M178" i="5"/>
  <c r="N178" i="5"/>
  <c r="M177" i="5"/>
  <c r="N177" i="5"/>
  <c r="M176" i="5"/>
  <c r="N176" i="5"/>
  <c r="N175" i="5"/>
  <c r="M175" i="5"/>
  <c r="M174" i="5"/>
  <c r="N174" i="5"/>
  <c r="N173" i="5"/>
  <c r="M173" i="5"/>
  <c r="M189" i="5"/>
  <c r="M190" i="5"/>
  <c r="M191" i="5"/>
  <c r="M192" i="5"/>
  <c r="N192" i="5" s="1"/>
  <c r="M193" i="5"/>
  <c r="N193" i="5" s="1"/>
  <c r="M194" i="5"/>
  <c r="N194" i="5" s="1"/>
  <c r="M195" i="5"/>
  <c r="N195" i="5" s="1"/>
  <c r="M196" i="5"/>
  <c r="N196" i="5" s="1"/>
  <c r="M197" i="5"/>
  <c r="N197" i="5" s="1"/>
  <c r="M198" i="5"/>
  <c r="M199" i="5"/>
  <c r="M200" i="5"/>
  <c r="N200" i="5" s="1"/>
  <c r="M204" i="5"/>
  <c r="N189" i="5"/>
  <c r="N190" i="5"/>
  <c r="N191" i="5"/>
  <c r="N198" i="5"/>
  <c r="N199" i="5"/>
  <c r="N204" i="5"/>
  <c r="M188" i="5"/>
  <c r="N188" i="5" s="1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1" i="5"/>
  <c r="K252" i="5"/>
  <c r="K253" i="5"/>
  <c r="K254" i="5"/>
  <c r="K255" i="5"/>
  <c r="K256" i="5"/>
  <c r="K257" i="5"/>
  <c r="K258" i="5"/>
  <c r="K259" i="5"/>
  <c r="K260" i="5"/>
  <c r="K261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L5" i="3"/>
  <c r="M5" i="3"/>
  <c r="N5" i="3"/>
  <c r="O5" i="3"/>
  <c r="P5" i="3"/>
  <c r="L6" i="3"/>
  <c r="M6" i="3"/>
  <c r="O6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2" i="3"/>
  <c r="C301" i="4"/>
  <c r="C300" i="4"/>
  <c r="C299" i="4"/>
  <c r="C298" i="4"/>
  <c r="C297" i="4"/>
  <c r="C296" i="4"/>
  <c r="C295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70" i="4"/>
  <c r="I20" i="4"/>
  <c r="G10" i="3" s="1"/>
  <c r="C112" i="4" l="1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11" i="4"/>
  <c r="C210" i="4"/>
  <c r="C197" i="4"/>
  <c r="C195" i="4"/>
  <c r="C194" i="4"/>
  <c r="C193" i="4"/>
  <c r="C187" i="4"/>
  <c r="C178" i="4"/>
  <c r="C176" i="4"/>
  <c r="C175" i="4"/>
  <c r="C174" i="4"/>
  <c r="C158" i="4"/>
  <c r="C157" i="4"/>
  <c r="C133" i="4"/>
  <c r="C132" i="4"/>
  <c r="C131" i="4"/>
  <c r="C129" i="4"/>
  <c r="C121" i="4"/>
  <c r="C115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6" i="4"/>
  <c r="C192" i="4"/>
  <c r="C191" i="4"/>
  <c r="C190" i="4"/>
  <c r="C189" i="4"/>
  <c r="C188" i="4"/>
  <c r="C186" i="4"/>
  <c r="C185" i="4"/>
  <c r="C184" i="4"/>
  <c r="C183" i="4"/>
  <c r="C182" i="4"/>
  <c r="C181" i="4"/>
  <c r="C180" i="4"/>
  <c r="C179" i="4"/>
  <c r="C177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0" i="4"/>
  <c r="C128" i="4"/>
  <c r="C127" i="4"/>
  <c r="C126" i="4"/>
  <c r="C125" i="4"/>
  <c r="C124" i="4"/>
  <c r="C123" i="4"/>
  <c r="C122" i="4"/>
  <c r="C120" i="4"/>
  <c r="C119" i="4"/>
  <c r="C118" i="4"/>
  <c r="C117" i="4"/>
  <c r="C116" i="4"/>
  <c r="C114" i="4"/>
  <c r="C113" i="4"/>
  <c r="M13" i="6"/>
  <c r="P13" i="6"/>
  <c r="Q8" i="6"/>
  <c r="L9" i="6"/>
  <c r="M9" i="6"/>
  <c r="N9" i="6"/>
  <c r="O9" i="6" s="1"/>
  <c r="Q9" i="6"/>
  <c r="I9" i="6"/>
  <c r="P9" i="6" l="1"/>
  <c r="I5" i="7" l="1"/>
  <c r="K161" i="5"/>
  <c r="K151" i="5"/>
  <c r="O180" i="5"/>
  <c r="O177" i="5"/>
  <c r="O176" i="5"/>
  <c r="O175" i="5"/>
  <c r="O174" i="5"/>
  <c r="O173" i="5"/>
  <c r="O172" i="5"/>
  <c r="O171" i="5"/>
  <c r="O170" i="5"/>
  <c r="O167" i="5"/>
  <c r="O166" i="5"/>
  <c r="O165" i="5"/>
  <c r="O164" i="5"/>
  <c r="O163" i="5"/>
  <c r="O162" i="5"/>
  <c r="O161" i="5"/>
  <c r="O160" i="5"/>
  <c r="O159" i="5"/>
  <c r="O158" i="5"/>
  <c r="O155" i="5"/>
  <c r="O154" i="5"/>
  <c r="O153" i="5"/>
  <c r="O152" i="5"/>
  <c r="O151" i="5"/>
  <c r="O150" i="5"/>
  <c r="O148" i="5"/>
  <c r="O147" i="5"/>
  <c r="O146" i="5"/>
  <c r="O144" i="5"/>
  <c r="O143" i="5"/>
  <c r="O142" i="5"/>
  <c r="O141" i="5"/>
  <c r="O140" i="5"/>
  <c r="O139" i="5"/>
  <c r="O138" i="5"/>
  <c r="O136" i="5"/>
  <c r="O135" i="5"/>
  <c r="O134" i="5"/>
  <c r="O133" i="5"/>
  <c r="O132" i="5"/>
  <c r="O131" i="5"/>
  <c r="O125" i="5"/>
  <c r="O122" i="5"/>
  <c r="O113" i="5"/>
  <c r="O111" i="5"/>
  <c r="O110" i="5"/>
  <c r="O106" i="5"/>
  <c r="O101" i="5"/>
  <c r="P172" i="5"/>
  <c r="P171" i="5"/>
  <c r="P166" i="5"/>
  <c r="P164" i="5"/>
  <c r="P163" i="5"/>
  <c r="P161" i="5"/>
  <c r="P159" i="5"/>
  <c r="P158" i="5"/>
  <c r="P155" i="5"/>
  <c r="P151" i="5"/>
  <c r="P149" i="5"/>
  <c r="P148" i="5"/>
  <c r="P147" i="5"/>
  <c r="P146" i="5"/>
  <c r="P144" i="5"/>
  <c r="P143" i="5"/>
  <c r="P141" i="5"/>
  <c r="P140" i="5"/>
  <c r="P139" i="5"/>
  <c r="P138" i="5"/>
  <c r="P137" i="5"/>
  <c r="P136" i="5"/>
  <c r="P135" i="5"/>
  <c r="P134" i="5"/>
  <c r="P133" i="5"/>
  <c r="P131" i="5"/>
  <c r="P127" i="5"/>
  <c r="P125" i="5"/>
  <c r="P122" i="5"/>
  <c r="P113" i="5"/>
  <c r="P111" i="5"/>
  <c r="P106" i="5"/>
  <c r="P101" i="5"/>
  <c r="P74" i="5"/>
  <c r="K152" i="5"/>
  <c r="K158" i="5"/>
  <c r="K159" i="5"/>
  <c r="K160" i="5"/>
  <c r="K163" i="5"/>
  <c r="K164" i="5"/>
  <c r="K166" i="5"/>
  <c r="K167" i="5"/>
  <c r="K168" i="5"/>
  <c r="O178" i="5"/>
  <c r="O179" i="5"/>
  <c r="M8" i="3"/>
  <c r="L8" i="3"/>
  <c r="O169" i="5"/>
  <c r="O168" i="5"/>
  <c r="O157" i="5"/>
  <c r="O156" i="5"/>
  <c r="P7" i="7"/>
  <c r="M7" i="7"/>
  <c r="O7" i="7" s="1"/>
  <c r="L7" i="7"/>
  <c r="K7" i="7"/>
  <c r="I7" i="7"/>
  <c r="H7" i="7"/>
  <c r="P6" i="7"/>
  <c r="M6" i="7"/>
  <c r="O6" i="7" s="1"/>
  <c r="L6" i="7"/>
  <c r="K6" i="7"/>
  <c r="I6" i="7"/>
  <c r="H6" i="7"/>
  <c r="P5" i="7"/>
  <c r="M5" i="7"/>
  <c r="O5" i="7" s="1"/>
  <c r="K5" i="7"/>
  <c r="H5" i="7"/>
  <c r="P4" i="7"/>
  <c r="M4" i="7"/>
  <c r="O4" i="7" s="1"/>
  <c r="L4" i="7"/>
  <c r="K4" i="7"/>
  <c r="I4" i="7"/>
  <c r="H4" i="7"/>
  <c r="P3" i="7"/>
  <c r="M3" i="7"/>
  <c r="N3" i="7" s="1"/>
  <c r="L3" i="7"/>
  <c r="K3" i="7"/>
  <c r="I3" i="7"/>
  <c r="H3" i="7"/>
  <c r="P2" i="7"/>
  <c r="N2" i="7"/>
  <c r="M2" i="7"/>
  <c r="O2" i="7" s="1"/>
  <c r="L2" i="7"/>
  <c r="K2" i="7"/>
  <c r="I2" i="7"/>
  <c r="H2" i="7"/>
  <c r="I2" i="6"/>
  <c r="J2" i="6"/>
  <c r="L2" i="6"/>
  <c r="M2" i="6"/>
  <c r="N2" i="6"/>
  <c r="P2" i="6" s="1"/>
  <c r="O2" i="6"/>
  <c r="Q2" i="6"/>
  <c r="I3" i="6"/>
  <c r="J3" i="6"/>
  <c r="L3" i="6"/>
  <c r="M3" i="6"/>
  <c r="N3" i="6"/>
  <c r="O3" i="6" s="1"/>
  <c r="P3" i="6"/>
  <c r="Q3" i="6"/>
  <c r="I4" i="6"/>
  <c r="J4" i="6"/>
  <c r="L4" i="6"/>
  <c r="M4" i="6"/>
  <c r="N4" i="6"/>
  <c r="O4" i="6"/>
  <c r="P4" i="6"/>
  <c r="Q4" i="6"/>
  <c r="I5" i="6"/>
  <c r="J5" i="6"/>
  <c r="L5" i="6"/>
  <c r="M5" i="6"/>
  <c r="N5" i="6"/>
  <c r="P5" i="6" s="1"/>
  <c r="O5" i="6"/>
  <c r="Q5" i="6"/>
  <c r="I6" i="6"/>
  <c r="J6" i="6"/>
  <c r="L6" i="6"/>
  <c r="M6" i="6"/>
  <c r="N6" i="6"/>
  <c r="O6" i="6"/>
  <c r="P6" i="6"/>
  <c r="Q6" i="6"/>
  <c r="I7" i="6"/>
  <c r="J7" i="6"/>
  <c r="L7" i="6"/>
  <c r="M7" i="6"/>
  <c r="N7" i="6"/>
  <c r="O7" i="6"/>
  <c r="P7" i="6"/>
  <c r="Q7" i="6"/>
  <c r="I8" i="6"/>
  <c r="J8" i="6"/>
  <c r="L8" i="6"/>
  <c r="M8" i="6"/>
  <c r="N8" i="6"/>
  <c r="P8" i="6" s="1"/>
  <c r="O8" i="6"/>
  <c r="K2" i="5"/>
  <c r="M2" i="5"/>
  <c r="N2" i="5"/>
  <c r="O2" i="5"/>
  <c r="P2" i="5"/>
  <c r="K3" i="5"/>
  <c r="M3" i="5"/>
  <c r="N3" i="5"/>
  <c r="O3" i="5"/>
  <c r="P3" i="5"/>
  <c r="K4" i="5"/>
  <c r="M4" i="5"/>
  <c r="N4" i="5"/>
  <c r="O4" i="5"/>
  <c r="P4" i="5"/>
  <c r="K5" i="5"/>
  <c r="M5" i="5"/>
  <c r="N5" i="5"/>
  <c r="O5" i="5"/>
  <c r="P5" i="5"/>
  <c r="K6" i="5"/>
  <c r="M6" i="5"/>
  <c r="N6" i="5"/>
  <c r="O6" i="5"/>
  <c r="P6" i="5"/>
  <c r="K7" i="5"/>
  <c r="M7" i="5"/>
  <c r="N7" i="5"/>
  <c r="O7" i="5"/>
  <c r="P7" i="5"/>
  <c r="K8" i="5"/>
  <c r="M8" i="5"/>
  <c r="N8" i="5"/>
  <c r="O8" i="5"/>
  <c r="P8" i="5"/>
  <c r="K9" i="5"/>
  <c r="M9" i="5"/>
  <c r="N9" i="5"/>
  <c r="O9" i="5"/>
  <c r="P9" i="5"/>
  <c r="K10" i="5"/>
  <c r="M10" i="5"/>
  <c r="N10" i="5"/>
  <c r="O10" i="5"/>
  <c r="P10" i="5"/>
  <c r="K11" i="5"/>
  <c r="M11" i="5"/>
  <c r="N11" i="5"/>
  <c r="O11" i="5"/>
  <c r="P11" i="5"/>
  <c r="K12" i="5"/>
  <c r="M12" i="5"/>
  <c r="N12" i="5"/>
  <c r="O12" i="5"/>
  <c r="P12" i="5"/>
  <c r="K13" i="5"/>
  <c r="M13" i="5"/>
  <c r="N13" i="5"/>
  <c r="O13" i="5"/>
  <c r="P13" i="5"/>
  <c r="K14" i="5"/>
  <c r="M14" i="5"/>
  <c r="N14" i="5"/>
  <c r="O14" i="5"/>
  <c r="P14" i="5"/>
  <c r="K15" i="5"/>
  <c r="M15" i="5"/>
  <c r="N15" i="5"/>
  <c r="O15" i="5"/>
  <c r="P15" i="5"/>
  <c r="K16" i="5"/>
  <c r="M16" i="5"/>
  <c r="N16" i="5"/>
  <c r="O16" i="5"/>
  <c r="P16" i="5"/>
  <c r="K17" i="5"/>
  <c r="M17" i="5"/>
  <c r="N17" i="5"/>
  <c r="O17" i="5"/>
  <c r="P17" i="5"/>
  <c r="K18" i="5"/>
  <c r="M18" i="5"/>
  <c r="N18" i="5"/>
  <c r="O18" i="5"/>
  <c r="P18" i="5"/>
  <c r="K19" i="5"/>
  <c r="M19" i="5"/>
  <c r="N19" i="5"/>
  <c r="O19" i="5"/>
  <c r="P19" i="5"/>
  <c r="K20" i="5"/>
  <c r="M20" i="5"/>
  <c r="N20" i="5"/>
  <c r="O20" i="5"/>
  <c r="P20" i="5"/>
  <c r="K21" i="5"/>
  <c r="M21" i="5"/>
  <c r="N21" i="5"/>
  <c r="O21" i="5"/>
  <c r="P21" i="5"/>
  <c r="K22" i="5"/>
  <c r="M22" i="5"/>
  <c r="N22" i="5"/>
  <c r="O22" i="5"/>
  <c r="P22" i="5"/>
  <c r="K23" i="5"/>
  <c r="M23" i="5"/>
  <c r="N23" i="5"/>
  <c r="O23" i="5"/>
  <c r="P23" i="5"/>
  <c r="K24" i="5"/>
  <c r="M24" i="5"/>
  <c r="N24" i="5"/>
  <c r="O24" i="5"/>
  <c r="P24" i="5"/>
  <c r="K25" i="5"/>
  <c r="M25" i="5"/>
  <c r="N25" i="5"/>
  <c r="O25" i="5"/>
  <c r="P25" i="5"/>
  <c r="K26" i="5"/>
  <c r="M26" i="5"/>
  <c r="N26" i="5"/>
  <c r="O26" i="5"/>
  <c r="P26" i="5"/>
  <c r="K27" i="5"/>
  <c r="M27" i="5"/>
  <c r="N27" i="5"/>
  <c r="O27" i="5"/>
  <c r="P27" i="5"/>
  <c r="K28" i="5"/>
  <c r="M28" i="5"/>
  <c r="N28" i="5"/>
  <c r="O28" i="5"/>
  <c r="P28" i="5"/>
  <c r="K29" i="5"/>
  <c r="M29" i="5"/>
  <c r="N29" i="5"/>
  <c r="O29" i="5"/>
  <c r="P29" i="5"/>
  <c r="K30" i="5"/>
  <c r="M30" i="5"/>
  <c r="N30" i="5"/>
  <c r="O30" i="5"/>
  <c r="P30" i="5"/>
  <c r="K31" i="5"/>
  <c r="M31" i="5"/>
  <c r="N31" i="5"/>
  <c r="O31" i="5"/>
  <c r="P31" i="5"/>
  <c r="K32" i="5"/>
  <c r="M32" i="5"/>
  <c r="N32" i="5"/>
  <c r="O32" i="5"/>
  <c r="P32" i="5"/>
  <c r="K33" i="5"/>
  <c r="M33" i="5"/>
  <c r="N33" i="5"/>
  <c r="O33" i="5"/>
  <c r="P33" i="5"/>
  <c r="K34" i="5"/>
  <c r="M34" i="5"/>
  <c r="N34" i="5"/>
  <c r="O34" i="5"/>
  <c r="P34" i="5"/>
  <c r="K35" i="5"/>
  <c r="M35" i="5"/>
  <c r="N35" i="5"/>
  <c r="O35" i="5"/>
  <c r="P35" i="5"/>
  <c r="K36" i="5"/>
  <c r="M36" i="5"/>
  <c r="N36" i="5"/>
  <c r="O36" i="5"/>
  <c r="P36" i="5"/>
  <c r="K37" i="5"/>
  <c r="M37" i="5"/>
  <c r="N37" i="5"/>
  <c r="O37" i="5"/>
  <c r="P37" i="5"/>
  <c r="K38" i="5"/>
  <c r="M38" i="5"/>
  <c r="N38" i="5"/>
  <c r="O38" i="5"/>
  <c r="P38" i="5"/>
  <c r="K39" i="5"/>
  <c r="M39" i="5"/>
  <c r="N39" i="5"/>
  <c r="O39" i="5"/>
  <c r="P39" i="5"/>
  <c r="K40" i="5"/>
  <c r="M40" i="5"/>
  <c r="N40" i="5"/>
  <c r="O40" i="5"/>
  <c r="P40" i="5"/>
  <c r="K41" i="5"/>
  <c r="M41" i="5"/>
  <c r="N41" i="5"/>
  <c r="O41" i="5"/>
  <c r="P41" i="5"/>
  <c r="K42" i="5"/>
  <c r="M42" i="5"/>
  <c r="N42" i="5"/>
  <c r="O42" i="5"/>
  <c r="P42" i="5"/>
  <c r="K43" i="5"/>
  <c r="M43" i="5"/>
  <c r="N43" i="5"/>
  <c r="O43" i="5"/>
  <c r="P43" i="5"/>
  <c r="K44" i="5"/>
  <c r="M44" i="5"/>
  <c r="N44" i="5"/>
  <c r="O44" i="5"/>
  <c r="P44" i="5"/>
  <c r="K45" i="5"/>
  <c r="M45" i="5"/>
  <c r="N45" i="5"/>
  <c r="O45" i="5"/>
  <c r="P45" i="5"/>
  <c r="K46" i="5"/>
  <c r="M46" i="5"/>
  <c r="N46" i="5"/>
  <c r="O46" i="5"/>
  <c r="P46" i="5"/>
  <c r="K47" i="5"/>
  <c r="M47" i="5"/>
  <c r="N47" i="5"/>
  <c r="O47" i="5"/>
  <c r="P47" i="5"/>
  <c r="K48" i="5"/>
  <c r="M48" i="5"/>
  <c r="N48" i="5"/>
  <c r="O48" i="5"/>
  <c r="P48" i="5"/>
  <c r="K49" i="5"/>
  <c r="M49" i="5"/>
  <c r="N49" i="5"/>
  <c r="O49" i="5"/>
  <c r="P49" i="5"/>
  <c r="K50" i="5"/>
  <c r="M50" i="5"/>
  <c r="N50" i="5"/>
  <c r="O50" i="5"/>
  <c r="P50" i="5"/>
  <c r="K51" i="5"/>
  <c r="M51" i="5"/>
  <c r="N51" i="5"/>
  <c r="O51" i="5"/>
  <c r="P51" i="5"/>
  <c r="K52" i="5"/>
  <c r="M52" i="5"/>
  <c r="N52" i="5"/>
  <c r="O52" i="5"/>
  <c r="P52" i="5"/>
  <c r="K53" i="5"/>
  <c r="M53" i="5"/>
  <c r="N53" i="5"/>
  <c r="O53" i="5"/>
  <c r="P53" i="5"/>
  <c r="K54" i="5"/>
  <c r="M54" i="5"/>
  <c r="N54" i="5"/>
  <c r="O54" i="5"/>
  <c r="P54" i="5"/>
  <c r="K55" i="5"/>
  <c r="M55" i="5"/>
  <c r="N55" i="5"/>
  <c r="O55" i="5"/>
  <c r="P55" i="5"/>
  <c r="K56" i="5"/>
  <c r="M56" i="5"/>
  <c r="N56" i="5"/>
  <c r="O56" i="5"/>
  <c r="P56" i="5"/>
  <c r="K57" i="5"/>
  <c r="M57" i="5"/>
  <c r="N57" i="5"/>
  <c r="O57" i="5"/>
  <c r="P57" i="5"/>
  <c r="K58" i="5"/>
  <c r="M58" i="5"/>
  <c r="N58" i="5"/>
  <c r="O58" i="5"/>
  <c r="P58" i="5"/>
  <c r="K59" i="5"/>
  <c r="M59" i="5"/>
  <c r="N59" i="5"/>
  <c r="O59" i="5"/>
  <c r="P59" i="5"/>
  <c r="K60" i="5"/>
  <c r="M60" i="5"/>
  <c r="N60" i="5"/>
  <c r="O60" i="5"/>
  <c r="P60" i="5"/>
  <c r="K61" i="5"/>
  <c r="M61" i="5"/>
  <c r="N61" i="5"/>
  <c r="O61" i="5"/>
  <c r="P61" i="5"/>
  <c r="K62" i="5"/>
  <c r="M62" i="5"/>
  <c r="N62" i="5"/>
  <c r="O62" i="5"/>
  <c r="P62" i="5"/>
  <c r="K63" i="5"/>
  <c r="M63" i="5"/>
  <c r="N63" i="5"/>
  <c r="O63" i="5"/>
  <c r="P63" i="5"/>
  <c r="K64" i="5"/>
  <c r="M64" i="5"/>
  <c r="N64" i="5"/>
  <c r="O64" i="5"/>
  <c r="P64" i="5"/>
  <c r="K65" i="5"/>
  <c r="M65" i="5"/>
  <c r="N65" i="5"/>
  <c r="O65" i="5"/>
  <c r="P65" i="5"/>
  <c r="K66" i="5"/>
  <c r="M66" i="5"/>
  <c r="N66" i="5"/>
  <c r="O66" i="5"/>
  <c r="P66" i="5"/>
  <c r="K67" i="5"/>
  <c r="M67" i="5"/>
  <c r="N67" i="5"/>
  <c r="O67" i="5"/>
  <c r="P67" i="5"/>
  <c r="K68" i="5"/>
  <c r="M68" i="5"/>
  <c r="N68" i="5"/>
  <c r="O68" i="5"/>
  <c r="P68" i="5"/>
  <c r="M69" i="5"/>
  <c r="N69" i="5"/>
  <c r="O69" i="5"/>
  <c r="P69" i="5"/>
  <c r="K70" i="5"/>
  <c r="M70" i="5"/>
  <c r="N70" i="5"/>
  <c r="O70" i="5"/>
  <c r="P70" i="5"/>
  <c r="K71" i="5"/>
  <c r="M71" i="5"/>
  <c r="N71" i="5"/>
  <c r="O71" i="5"/>
  <c r="P71" i="5"/>
  <c r="K72" i="5"/>
  <c r="M72" i="5"/>
  <c r="N72" i="5"/>
  <c r="O72" i="5"/>
  <c r="P72" i="5"/>
  <c r="K73" i="5"/>
  <c r="M73" i="5"/>
  <c r="N73" i="5"/>
  <c r="O73" i="5"/>
  <c r="P73" i="5"/>
  <c r="K74" i="5"/>
  <c r="M74" i="5"/>
  <c r="N74" i="5"/>
  <c r="K75" i="5"/>
  <c r="M75" i="5"/>
  <c r="N75" i="5"/>
  <c r="O75" i="5"/>
  <c r="P75" i="5"/>
  <c r="K76" i="5"/>
  <c r="M76" i="5"/>
  <c r="N76" i="5"/>
  <c r="O76" i="5"/>
  <c r="P76" i="5"/>
  <c r="K77" i="5"/>
  <c r="M77" i="5"/>
  <c r="N77" i="5"/>
  <c r="O77" i="5"/>
  <c r="P77" i="5"/>
  <c r="K78" i="5"/>
  <c r="M78" i="5"/>
  <c r="N78" i="5"/>
  <c r="O78" i="5"/>
  <c r="P78" i="5"/>
  <c r="K79" i="5"/>
  <c r="M79" i="5"/>
  <c r="N79" i="5"/>
  <c r="O79" i="5"/>
  <c r="P79" i="5"/>
  <c r="K80" i="5"/>
  <c r="M80" i="5"/>
  <c r="N80" i="5"/>
  <c r="O80" i="5"/>
  <c r="P80" i="5"/>
  <c r="K81" i="5"/>
  <c r="M81" i="5"/>
  <c r="N81" i="5"/>
  <c r="O81" i="5"/>
  <c r="P81" i="5"/>
  <c r="K82" i="5"/>
  <c r="M82" i="5"/>
  <c r="N82" i="5"/>
  <c r="O82" i="5"/>
  <c r="P82" i="5"/>
  <c r="K83" i="5"/>
  <c r="M83" i="5"/>
  <c r="N83" i="5"/>
  <c r="O83" i="5"/>
  <c r="P83" i="5"/>
  <c r="K84" i="5"/>
  <c r="M84" i="5"/>
  <c r="N84" i="5"/>
  <c r="O84" i="5"/>
  <c r="P84" i="5"/>
  <c r="K85" i="5"/>
  <c r="M85" i="5"/>
  <c r="N85" i="5"/>
  <c r="O85" i="5"/>
  <c r="P85" i="5"/>
  <c r="K86" i="5"/>
  <c r="M86" i="5"/>
  <c r="N86" i="5"/>
  <c r="O86" i="5"/>
  <c r="P86" i="5"/>
  <c r="K87" i="5"/>
  <c r="M87" i="5"/>
  <c r="N87" i="5"/>
  <c r="O87" i="5"/>
  <c r="P87" i="5"/>
  <c r="K88" i="5"/>
  <c r="M88" i="5"/>
  <c r="N88" i="5"/>
  <c r="O88" i="5"/>
  <c r="P88" i="5"/>
  <c r="K89" i="5"/>
  <c r="M89" i="5"/>
  <c r="N89" i="5"/>
  <c r="O89" i="5"/>
  <c r="P89" i="5"/>
  <c r="K90" i="5"/>
  <c r="M90" i="5"/>
  <c r="N90" i="5"/>
  <c r="O90" i="5"/>
  <c r="P90" i="5"/>
  <c r="K91" i="5"/>
  <c r="M91" i="5"/>
  <c r="N91" i="5"/>
  <c r="O91" i="5"/>
  <c r="P91" i="5"/>
  <c r="K92" i="5"/>
  <c r="M92" i="5"/>
  <c r="N92" i="5"/>
  <c r="O92" i="5"/>
  <c r="P92" i="5"/>
  <c r="K93" i="5"/>
  <c r="M93" i="5"/>
  <c r="N93" i="5"/>
  <c r="O93" i="5"/>
  <c r="P93" i="5"/>
  <c r="K94" i="5"/>
  <c r="M94" i="5"/>
  <c r="N94" i="5"/>
  <c r="O94" i="5"/>
  <c r="P94" i="5"/>
  <c r="K95" i="5"/>
  <c r="M95" i="5"/>
  <c r="N95" i="5"/>
  <c r="O95" i="5"/>
  <c r="P95" i="5"/>
  <c r="K96" i="5"/>
  <c r="M96" i="5"/>
  <c r="N96" i="5"/>
  <c r="O96" i="5"/>
  <c r="P96" i="5"/>
  <c r="K97" i="5"/>
  <c r="M97" i="5"/>
  <c r="N97" i="5"/>
  <c r="O97" i="5"/>
  <c r="P97" i="5"/>
  <c r="K98" i="5"/>
  <c r="M98" i="5"/>
  <c r="N98" i="5"/>
  <c r="O98" i="5"/>
  <c r="P98" i="5"/>
  <c r="K99" i="5"/>
  <c r="M99" i="5"/>
  <c r="N99" i="5"/>
  <c r="O99" i="5"/>
  <c r="P99" i="5"/>
  <c r="K100" i="5"/>
  <c r="M100" i="5"/>
  <c r="N100" i="5"/>
  <c r="O100" i="5"/>
  <c r="P100" i="5"/>
  <c r="K101" i="5"/>
  <c r="M101" i="5"/>
  <c r="N101" i="5"/>
  <c r="K102" i="5"/>
  <c r="M102" i="5"/>
  <c r="N102" i="5"/>
  <c r="O102" i="5"/>
  <c r="P102" i="5"/>
  <c r="K103" i="5"/>
  <c r="M103" i="5"/>
  <c r="N103" i="5"/>
  <c r="O103" i="5"/>
  <c r="P103" i="5"/>
  <c r="K104" i="5"/>
  <c r="M104" i="5"/>
  <c r="N104" i="5"/>
  <c r="O104" i="5"/>
  <c r="P104" i="5"/>
  <c r="K105" i="5"/>
  <c r="M105" i="5"/>
  <c r="N105" i="5"/>
  <c r="O105" i="5"/>
  <c r="P105" i="5"/>
  <c r="K106" i="5"/>
  <c r="M106" i="5"/>
  <c r="N106" i="5"/>
  <c r="K107" i="5"/>
  <c r="M107" i="5"/>
  <c r="N107" i="5"/>
  <c r="O107" i="5"/>
  <c r="P107" i="5"/>
  <c r="K108" i="5"/>
  <c r="M108" i="5"/>
  <c r="N108" i="5"/>
  <c r="O108" i="5"/>
  <c r="P108" i="5"/>
  <c r="K109" i="5"/>
  <c r="M109" i="5"/>
  <c r="N109" i="5"/>
  <c r="O109" i="5"/>
  <c r="P109" i="5"/>
  <c r="K110" i="5"/>
  <c r="M110" i="5"/>
  <c r="N110" i="5"/>
  <c r="P110" i="5"/>
  <c r="K111" i="5"/>
  <c r="M111" i="5"/>
  <c r="N111" i="5"/>
  <c r="K112" i="5"/>
  <c r="M112" i="5"/>
  <c r="N112" i="5"/>
  <c r="O112" i="5"/>
  <c r="P112" i="5"/>
  <c r="K113" i="5"/>
  <c r="M113" i="5"/>
  <c r="N113" i="5"/>
  <c r="K114" i="5"/>
  <c r="M114" i="5"/>
  <c r="N114" i="5"/>
  <c r="O114" i="5"/>
  <c r="P114" i="5"/>
  <c r="K115" i="5"/>
  <c r="M115" i="5"/>
  <c r="N115" i="5"/>
  <c r="O115" i="5"/>
  <c r="P115" i="5"/>
  <c r="K116" i="5"/>
  <c r="M116" i="5"/>
  <c r="N116" i="5"/>
  <c r="O116" i="5"/>
  <c r="P116" i="5"/>
  <c r="K117" i="5"/>
  <c r="M117" i="5"/>
  <c r="N117" i="5"/>
  <c r="O117" i="5"/>
  <c r="P117" i="5"/>
  <c r="K118" i="5"/>
  <c r="M118" i="5"/>
  <c r="N118" i="5"/>
  <c r="O118" i="5"/>
  <c r="P118" i="5"/>
  <c r="K119" i="5"/>
  <c r="M119" i="5"/>
  <c r="N119" i="5"/>
  <c r="O119" i="5"/>
  <c r="P119" i="5"/>
  <c r="K120" i="5"/>
  <c r="M120" i="5"/>
  <c r="N120" i="5"/>
  <c r="O120" i="5"/>
  <c r="P120" i="5"/>
  <c r="K121" i="5"/>
  <c r="M121" i="5"/>
  <c r="N121" i="5"/>
  <c r="O121" i="5"/>
  <c r="P121" i="5"/>
  <c r="K122" i="5"/>
  <c r="M122" i="5"/>
  <c r="N122" i="5"/>
  <c r="K123" i="5"/>
  <c r="M123" i="5"/>
  <c r="N123" i="5"/>
  <c r="P123" i="5"/>
  <c r="K124" i="5"/>
  <c r="M124" i="5"/>
  <c r="N124" i="5"/>
  <c r="O124" i="5"/>
  <c r="P124" i="5"/>
  <c r="K125" i="5"/>
  <c r="M125" i="5"/>
  <c r="N125" i="5"/>
  <c r="K126" i="5"/>
  <c r="M126" i="5"/>
  <c r="N126" i="5"/>
  <c r="O126" i="5"/>
  <c r="P126" i="5"/>
  <c r="K127" i="5"/>
  <c r="M127" i="5"/>
  <c r="N127" i="5"/>
  <c r="O127" i="5"/>
  <c r="K128" i="5"/>
  <c r="M128" i="5"/>
  <c r="N128" i="5"/>
  <c r="O128" i="5"/>
  <c r="P128" i="5"/>
  <c r="K129" i="5"/>
  <c r="M129" i="5"/>
  <c r="N129" i="5"/>
  <c r="O129" i="5"/>
  <c r="P129" i="5"/>
  <c r="K130" i="5"/>
  <c r="M130" i="5"/>
  <c r="N130" i="5"/>
  <c r="O130" i="5"/>
  <c r="P130" i="5"/>
  <c r="K131" i="5"/>
  <c r="M131" i="5"/>
  <c r="N131" i="5"/>
  <c r="K132" i="5"/>
  <c r="M132" i="5"/>
  <c r="N132" i="5"/>
  <c r="P132" i="5"/>
  <c r="K133" i="5"/>
  <c r="M133" i="5"/>
  <c r="N133" i="5"/>
  <c r="K134" i="5"/>
  <c r="M134" i="5"/>
  <c r="N134" i="5"/>
  <c r="K135" i="5"/>
  <c r="M135" i="5"/>
  <c r="N135" i="5"/>
  <c r="K136" i="5"/>
  <c r="M136" i="5"/>
  <c r="N136" i="5"/>
  <c r="K137" i="5"/>
  <c r="M137" i="5"/>
  <c r="N137" i="5"/>
  <c r="O137" i="5"/>
  <c r="K138" i="5"/>
  <c r="M138" i="5"/>
  <c r="N138" i="5"/>
  <c r="K139" i="5"/>
  <c r="M139" i="5"/>
  <c r="N139" i="5"/>
  <c r="K140" i="5"/>
  <c r="M140" i="5"/>
  <c r="N140" i="5"/>
  <c r="K141" i="5"/>
  <c r="M141" i="5"/>
  <c r="N141" i="5"/>
  <c r="K142" i="5"/>
  <c r="M142" i="5"/>
  <c r="N142" i="5"/>
  <c r="P142" i="5"/>
  <c r="K143" i="5"/>
  <c r="M143" i="5"/>
  <c r="N143" i="5"/>
  <c r="K144" i="5"/>
  <c r="M144" i="5"/>
  <c r="N144" i="5"/>
  <c r="K145" i="5"/>
  <c r="M145" i="5"/>
  <c r="N145" i="5"/>
  <c r="O145" i="5"/>
  <c r="P145" i="5"/>
  <c r="K146" i="5"/>
  <c r="M146" i="5"/>
  <c r="N146" i="5"/>
  <c r="K147" i="5"/>
  <c r="M147" i="5"/>
  <c r="N147" i="5"/>
  <c r="K148" i="5"/>
  <c r="M148" i="5"/>
  <c r="N148" i="5"/>
  <c r="K149" i="5"/>
  <c r="M149" i="5"/>
  <c r="N149" i="5"/>
  <c r="O149" i="5"/>
  <c r="K150" i="5"/>
  <c r="M150" i="5"/>
  <c r="N150" i="5"/>
  <c r="P150" i="5"/>
  <c r="M151" i="5"/>
  <c r="N151" i="5"/>
  <c r="M152" i="5"/>
  <c r="N152" i="5"/>
  <c r="P152" i="5"/>
  <c r="M153" i="5"/>
  <c r="N153" i="5"/>
  <c r="P153" i="5"/>
  <c r="M154" i="5"/>
  <c r="N154" i="5"/>
  <c r="P154" i="5"/>
  <c r="M155" i="5"/>
  <c r="N155" i="5"/>
  <c r="M156" i="5"/>
  <c r="N156" i="5"/>
  <c r="P156" i="5"/>
  <c r="M157" i="5"/>
  <c r="N157" i="5"/>
  <c r="P157" i="5"/>
  <c r="M158" i="5"/>
  <c r="N158" i="5"/>
  <c r="M159" i="5"/>
  <c r="N159" i="5"/>
  <c r="M160" i="5"/>
  <c r="N160" i="5"/>
  <c r="P160" i="5"/>
  <c r="M161" i="5"/>
  <c r="N161" i="5"/>
  <c r="M162" i="5"/>
  <c r="N162" i="5"/>
  <c r="P162" i="5"/>
  <c r="M163" i="5"/>
  <c r="N163" i="5"/>
  <c r="M164" i="5"/>
  <c r="N164" i="5"/>
  <c r="M165" i="5"/>
  <c r="N165" i="5"/>
  <c r="P165" i="5"/>
  <c r="M166" i="5"/>
  <c r="N166" i="5"/>
  <c r="M167" i="5"/>
  <c r="N167" i="5"/>
  <c r="P167" i="5"/>
  <c r="M168" i="5"/>
  <c r="N168" i="5"/>
  <c r="P168" i="5"/>
  <c r="M169" i="5"/>
  <c r="N169" i="5"/>
  <c r="P169" i="5"/>
  <c r="M170" i="5"/>
  <c r="N170" i="5"/>
  <c r="P170" i="5"/>
  <c r="M171" i="5"/>
  <c r="N171" i="5"/>
  <c r="M172" i="5"/>
  <c r="N172" i="5"/>
  <c r="N5" i="7" l="1"/>
  <c r="K156" i="5"/>
  <c r="K162" i="5"/>
  <c r="K154" i="5"/>
  <c r="K165" i="5"/>
  <c r="K153" i="5"/>
  <c r="K155" i="5"/>
  <c r="K157" i="5"/>
  <c r="N6" i="7"/>
  <c r="O3" i="7"/>
  <c r="N4" i="7"/>
  <c r="N7" i="7"/>
  <c r="P7" i="3" l="1"/>
  <c r="N7" i="3"/>
  <c r="E3" i="3"/>
  <c r="D3" i="3"/>
  <c r="D2" i="3"/>
  <c r="F2" i="3"/>
  <c r="E2" i="3"/>
  <c r="M7" i="3"/>
  <c r="M3" i="3"/>
  <c r="M4" i="3"/>
  <c r="N6" i="3" l="1"/>
  <c r="N4" i="3"/>
  <c r="N3" i="3"/>
  <c r="O4" i="3"/>
  <c r="O7" i="3"/>
  <c r="O3" i="3"/>
  <c r="G2" i="3"/>
  <c r="G3" i="3"/>
  <c r="C3" i="3"/>
  <c r="F3" i="3"/>
  <c r="P6" i="3" s="1"/>
  <c r="N9" i="3" l="1"/>
  <c r="P3" i="3"/>
  <c r="P4" i="3"/>
  <c r="M9" i="3"/>
  <c r="S2" i="3"/>
  <c r="S4" i="3"/>
  <c r="S3" i="3"/>
  <c r="S5" i="3"/>
  <c r="S6" i="3" l="1"/>
  <c r="L4" i="3" l="1"/>
  <c r="P9" i="3" l="1"/>
  <c r="L3" i="3" l="1"/>
  <c r="L9" i="3" s="1"/>
  <c r="O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tc={973447FC-AF9C-4082-8E25-B1D09D35364C}</author>
    <author>tc={FF02336F-458A-4EE8-A35B-86B15F4EF7AF}</author>
  </authors>
  <commentList>
    <comment ref="I73" authorId="0" shapeId="0" xr:uid="{973447FC-AF9C-4082-8E25-B1D09D3536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spare parts </t>
      </text>
    </comment>
    <comment ref="K134" authorId="1" shapeId="0" xr:uid="{FF02336F-458A-4EE8-A35B-86B15F4EF7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involves foreign traders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tc={30994F3B-6198-4AC1-8D55-60AA3046089F}</author>
    <author>tc={93A84B31-C7FE-49A5-AB28-4DAEAE1D8416}</author>
    <author>tc={2497090B-62C7-4CC3-8983-DCD3D5F91C9F}</author>
    <author>tc={4F7BCB0B-BF7F-47A3-9722-F7B004EB6A23}</author>
    <author>tc={DD4A381C-F6C2-4BA8-9F39-032D53237D4F}</author>
    <author>tc={0C4EC9F5-8502-492F-B203-5D8175685FA0}</author>
    <author>tc={FE8F2AE2-64D9-43D0-B8AA-D1C49421CEF0}</author>
    <author>tc={5D384506-B975-4BE0-A34B-19FC40A83C55}</author>
    <author>tc={8703F2CE-CB7B-4376-8497-91C0884B922C}</author>
    <author>tc={B8D7B7FA-5422-41E6-ACD9-998065F27416}</author>
    <author>tc={193986D9-E263-4D93-9982-E6369BCBEEE3}</author>
    <author>tc={E453A55C-23A4-4F72-87DB-1BD305D9980C}</author>
    <author>tc={A693BA29-5CC7-42D4-B59A-E0A26971CC52}</author>
    <author>tc={07058B08-54E8-4C77-93BE-58DCC2716BB4}</author>
    <author>tc={A4BDADAB-D906-44E5-97B1-7AD976739D98}</author>
    <author>tc={82C03C56-933F-4CD2-8894-A8A186A1811C}</author>
  </authors>
  <commentList>
    <comment ref="F6" authorId="0" shapeId="0" xr:uid="{30994F3B-6198-4AC1-8D55-60AA3046089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invoice 6017351258</t>
      </text>
    </comment>
    <comment ref="F7" authorId="1" shapeId="0" xr:uid="{93A84B31-C7FE-49A5-AB28-4DAEAE1D8416}">
      <text>
        <t>[Threaded comment]
Your version of Excel allows you to read this threaded comment; however, any edits to it will get removed if the file is opened in a newer version of Excel. Learn more: https://go.microsoft.com/fwlink/?linkid=870924
Comment:
    6017350764
6017352482
Golden harbour SO1806</t>
      </text>
    </comment>
    <comment ref="F8" authorId="2" shapeId="0" xr:uid="{2497090B-62C7-4CC3-8983-DCD3D5F91C9F}">
      <text>
        <t>[Threaded comment]
Your version of Excel allows you to read this threaded comment; however, any edits to it will get removed if the file is opened in a newer version of Excel. Learn more: https://go.microsoft.com/fwlink/?linkid=870924
Comment:
    Panorama
Muharraq Engineering W.L.L
Al Karrar trading
F&amp;L Logistics UAE -BAHRAIN</t>
      </text>
    </comment>
    <comment ref="F10" authorId="3" shapeId="0" xr:uid="{4F7BCB0B-BF7F-47A3-9722-F7B004EB6A23}">
      <text>
        <t>[Threaded comment]
Your version of Excel allows you to read this threaded comment; however, any edits to it will get removed if the file is opened in a newer version of Excel. Learn more: https://go.microsoft.com/fwlink/?linkid=870924
Comment:
    6017347163
6017348298
6017353278
6017351263</t>
      </text>
    </comment>
    <comment ref="F13" authorId="4" shapeId="0" xr:uid="{DD4A381C-F6C2-4BA8-9F39-032D53237D4F}">
      <text>
        <t>[Threaded comment]
Your version of Excel allows you to read this threaded comment; however, any edits to it will get removed if the file is opened in a newer version of Excel. Learn more: https://go.microsoft.com/fwlink/?linkid=870924
Comment:
    6017350765</t>
      </text>
    </comment>
    <comment ref="F25" authorId="5" shapeId="0" xr:uid="{0C4EC9F5-8502-492F-B203-5D8175685FA0}">
      <text>
        <t>[Threaded comment]
Your version of Excel allows you to read this threaded comment; however, any edits to it will get removed if the file is opened in a newer version of Excel. Learn more: https://go.microsoft.com/fwlink/?linkid=870924
Comment:
     and 6017353108</t>
      </text>
    </comment>
    <comment ref="F38" authorId="6" shapeId="0" xr:uid="{FE8F2AE2-64D9-43D0-B8AA-D1C49421CEF0}">
      <text>
        <t>[Threaded comment]
Your version of Excel allows you to read this threaded comment; however, any edits to it will get removed if the file is opened in a newer version of Excel. Learn more: https://go.microsoft.com/fwlink/?linkid=870924
Comment:
    UAL/7280/02/24 United engineering
F&amp;L Logistics Germany -Dubai
F&amp;L Logistics Dubai-Bahrain aramex customs duty x2 invoices
Panorama
Al Karrar trading x3 invoices
Muharraq Engineering W.L.L</t>
      </text>
    </comment>
    <comment ref="F47" authorId="7" shapeId="0" xr:uid="{5D384506-B975-4BE0-A34B-19FC40A83C5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Service Job 6017359327</t>
      </text>
    </comment>
    <comment ref="G58" authorId="8" shapeId="0" xr:uid="{8703F2CE-CB7B-4376-8497-91C0884B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PH24/053 (4174.046)
 advance payment</t>
      </text>
    </comment>
    <comment ref="F74" authorId="9" shapeId="0" xr:uid="{B8D7B7FA-5422-41E6-ACD9-998065F27416}">
      <text>
        <t>[Threaded comment]
Your version of Excel allows you to read this threaded comment; however, any edits to it will get removed if the file is opened in a newer version of Excel. Learn more: https://go.microsoft.com/fwlink/?linkid=870924
Comment:
    6017370710 /6017370711 /6017370712</t>
      </text>
    </comment>
    <comment ref="E94" authorId="10" shapeId="0" xr:uid="{193986D9-E263-4D93-9982-E6369BCBEE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offer
2024/138/ENGIE dated 05 june 2024
Offer for variation order 
 2024/138/ENGIE/Part 2  dated 01 aug 2024
</t>
      </text>
    </comment>
    <comment ref="G94" authorId="11" shapeId="0" xr:uid="{E453A55C-23A4-4F72-87DB-1BD305D9980C}">
      <text>
        <t>[Threaded comment]
Your version of Excel allows you to read this threaded comment; however, any edits to it will get removed if the file is opened in a newer version of Excel. Learn more: https://go.microsoft.com/fwlink/?linkid=870924
Comment:
    1 more invoice to be given for variation order</t>
      </text>
    </comment>
    <comment ref="H94" authorId="12" shapeId="0" xr:uid="{A693BA29-5CC7-42D4-B59A-E0A26971CC52}">
      <text>
        <t>[Threaded comment]
Your version of Excel allows you to read this threaded comment; however, any edits to it will get removed if the file is opened in a newer version of Excel. Learn more: https://go.microsoft.com/fwlink/?linkid=870924
Comment:
    1 More invoice to come for variation order</t>
      </text>
    </comment>
    <comment ref="F97" authorId="13" shapeId="0" xr:uid="{07058B08-54E8-4C77-93BE-58DCC2716B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6017364526
6017362930
6017362931
6017362936
</t>
      </text>
    </comment>
    <comment ref="G97" authorId="14" shapeId="0" xr:uid="{A4BDADAB-D906-44E5-97B1-7AD976739D98}">
      <text>
        <t>[Threaded comment]
Your version of Excel allows you to read this threaded comment; however, any edits to it will get removed if the file is opened in a newer version of Excel. Learn more: https://go.microsoft.com/fwlink/?linkid=870924
Comment:
    PH24/109
PH24/104</t>
      </text>
    </comment>
    <comment ref="F121" authorId="15" shapeId="0" xr:uid="{82C03C56-933F-4CD2-8894-A8A186A1811C}">
      <text>
        <t>[Threaded comment]
Your version of Excel allows you to read this threaded comment; however, any edits to it will get removed if the file is opened in a newer version of Excel. Learn more: https://go.microsoft.com/fwlink/?linkid=870924
Comment:
    6017370709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tc={8D4FDFA8-3FF9-4ED5-9090-FC9F69C0CB5A}</author>
  </authors>
  <commentList>
    <comment ref="P5" authorId="0" shapeId="0" xr:uid="{8D4FDFA8-3FF9-4ED5-9090-FC9F69C0C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Purchased (12 qty) and saled 11 qty -  1 qty is spare at office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A4FBF-69E7-436D-B20F-D0A06BE4E489}" keepAlive="1" name="Query - offers 2024" description="Connection to the 'offers 2024' query in the workbook." type="5" refreshedVersion="0" background="1">
    <dbPr connection="Provider=Microsoft.Mashup.OleDb.1;Data Source=$Workbook$;Location=&quot;offers 2024&quot;;Extended Properties=&quot;&quot;" command="SELECT * FROM [offers 2024]"/>
  </connection>
</connections>
</file>

<file path=xl/sharedStrings.xml><?xml version="1.0" encoding="utf-8"?>
<sst xmlns="http://schemas.openxmlformats.org/spreadsheetml/2006/main" count="4161" uniqueCount="1718">
  <si>
    <t>Year</t>
  </si>
  <si>
    <t>Opp. No.</t>
  </si>
  <si>
    <t>Folder No.</t>
  </si>
  <si>
    <t>Folder Name</t>
  </si>
  <si>
    <t>SFDC Opportunity title</t>
  </si>
  <si>
    <t>End User</t>
  </si>
  <si>
    <t>Latest Comment</t>
  </si>
  <si>
    <t>E+H Refference No</t>
  </si>
  <si>
    <t>Value in BHD</t>
  </si>
  <si>
    <t>Status</t>
  </si>
  <si>
    <t>Reason for Loss</t>
  </si>
  <si>
    <t>Quote Date</t>
  </si>
  <si>
    <t>Order date</t>
  </si>
  <si>
    <t>Approx Delivery Date</t>
  </si>
  <si>
    <t>Payment Terms</t>
  </si>
  <si>
    <t>Owner</t>
  </si>
  <si>
    <t>Abie Comments</t>
  </si>
  <si>
    <t xml:space="preserve">BAHRAIN SUGAR REFINERY-AIT  </t>
  </si>
  <si>
    <t>Bahrain Sugar Refinery W.L.L.04/24</t>
  </si>
  <si>
    <t>Bahrain Sugar Refinery</t>
  </si>
  <si>
    <t>Offer Submitted</t>
  </si>
  <si>
    <t>Closed Lost</t>
  </si>
  <si>
    <t>Customer Went With Existing Supplier</t>
  </si>
  <si>
    <t>100% Advance</t>
  </si>
  <si>
    <t>Sundar</t>
  </si>
  <si>
    <t xml:space="preserve">ARLA-FIT (SITE JOB)  </t>
  </si>
  <si>
    <t>ARLA FOOD 09/24</t>
  </si>
  <si>
    <t>Arla Foods Bahrain S.P.C</t>
  </si>
  <si>
    <t>PO Received Offer update with 24/25</t>
  </si>
  <si>
    <t>8-weeks</t>
  </si>
  <si>
    <t>30 day from  delivery</t>
  </si>
  <si>
    <t>TENDER 4622   -10/2024</t>
  </si>
  <si>
    <t>water quality analyzer  tender 4622</t>
  </si>
  <si>
    <t>EWA</t>
  </si>
  <si>
    <t>Follow up In Process</t>
  </si>
  <si>
    <t>12-weeks</t>
  </si>
  <si>
    <t>50 % Advance &amp; 50% Against delivery</t>
  </si>
  <si>
    <t>GULF MARKET-DPIT   -24/2024</t>
  </si>
  <si>
    <t xml:space="preserve">Not created </t>
  </si>
  <si>
    <t>GULF MARKET</t>
  </si>
  <si>
    <t>Lost To Other OEM Channel</t>
  </si>
  <si>
    <t>SEDRES-KSA (FIT)   -25/2024</t>
  </si>
  <si>
    <t>Not created</t>
  </si>
  <si>
    <t>Orbitus/Sedres</t>
  </si>
  <si>
    <t>Customer Decision-Making Delays</t>
  </si>
  <si>
    <t xml:space="preserve">BAPCO-LIT    </t>
  </si>
  <si>
    <t>Bapco LIT</t>
  </si>
  <si>
    <t>Bapco Refining</t>
  </si>
  <si>
    <t>PO received Offer update with 34/24</t>
  </si>
  <si>
    <t>30 days from date of de;ivery.</t>
  </si>
  <si>
    <t xml:space="preserve">Muharraq WW   </t>
  </si>
  <si>
    <t>Muharraq WW - 53 / 24 - 2005134310</t>
  </si>
  <si>
    <t>Muharraq Wastewater Services Co</t>
  </si>
  <si>
    <t>Customer's Budget Constraints</t>
  </si>
  <si>
    <t>Ebin</t>
  </si>
  <si>
    <t xml:space="preserve">Asia    </t>
  </si>
  <si>
    <t>Tabreed - 86 / 24 - 2005136973</t>
  </si>
  <si>
    <t>tabreed</t>
  </si>
  <si>
    <t>100% advance</t>
  </si>
  <si>
    <t xml:space="preserve">TENDER 4623   </t>
  </si>
  <si>
    <t xml:space="preserve">TRANS GLOBAL   </t>
  </si>
  <si>
    <t>Transglobal DO 125 / 24</t>
  </si>
  <si>
    <t>transglobal contracting</t>
  </si>
  <si>
    <t xml:space="preserve">Tabreed    </t>
  </si>
  <si>
    <t>Tabreed spare 126 / 24</t>
  </si>
  <si>
    <t xml:space="preserve">Gpic verification   </t>
  </si>
  <si>
    <t>gpic various meters recalibration 152 / 24</t>
  </si>
  <si>
    <t>GPIC</t>
  </si>
  <si>
    <t xml:space="preserve">Not Quoted due to its not part of in our OEM </t>
  </si>
  <si>
    <t>Technical Issues</t>
  </si>
  <si>
    <t xml:space="preserve">Al hoty calibration  </t>
  </si>
  <si>
    <t>BAPCO - ALHOTY - calibration 158 / 24 - 2005141841</t>
  </si>
  <si>
    <t xml:space="preserve">intercol fm   </t>
  </si>
  <si>
    <t>Intercol FM 172 / 24 - 2005143729</t>
  </si>
  <si>
    <t>intercol</t>
  </si>
  <si>
    <t xml:space="preserve">Battery mag EWA trial </t>
  </si>
  <si>
    <t>Battery mag trial order 176 / 24 - 2005145177</t>
  </si>
  <si>
    <t>Ewa</t>
  </si>
  <si>
    <t>PQ  Approval ongoing</t>
  </si>
  <si>
    <t xml:space="preserve">GPIC- LIT   </t>
  </si>
  <si>
    <r>
      <t>GPIC LT 177 / 24 (</t>
    </r>
    <r>
      <rPr>
        <u/>
        <sz val="11"/>
        <color theme="1"/>
        <rFont val="Aptos Display"/>
        <family val="2"/>
        <scheme val="major"/>
      </rPr>
      <t>/lightning/r/006</t>
    </r>
  </si>
  <si>
    <t>Under evaluation</t>
  </si>
  <si>
    <t>16-Weeks</t>
  </si>
  <si>
    <t xml:space="preserve">Metitio MOW   </t>
  </si>
  <si>
    <t>Metito MOW 180 / 24</t>
  </si>
  <si>
    <t>Ministry of works</t>
  </si>
  <si>
    <t>Metito MOW part2 of 180</t>
  </si>
  <si>
    <t>its related to 180 / 24</t>
  </si>
  <si>
    <t xml:space="preserve">same as 180 / 24 </t>
  </si>
  <si>
    <t xml:space="preserve">BAPCO-TOC    </t>
  </si>
  <si>
    <t xml:space="preserve">waiting for Tender </t>
  </si>
  <si>
    <t>25-Weeks</t>
  </si>
  <si>
    <t>BAPCO UPSTREAM DEWPOINT ANALYZER SPARES</t>
  </si>
  <si>
    <t>DEW POINT 184A/24 &amp; 184B/24</t>
  </si>
  <si>
    <t>PO received</t>
  </si>
  <si>
    <t>8-Weeks</t>
  </si>
  <si>
    <t xml:space="preserve">GPIC-LIT    </t>
  </si>
  <si>
    <t>Not Created</t>
  </si>
  <si>
    <t xml:space="preserve">FEED is on going &amp; offer not yet submitted </t>
  </si>
  <si>
    <t xml:space="preserve">ALBA 77 temp ammend </t>
  </si>
  <si>
    <t>190/24 ALBA 77/24 amendment - 2005146429</t>
  </si>
  <si>
    <t>ALUMINIUM BAHRAIN B.S.C.(C)</t>
  </si>
  <si>
    <t>45 days from date of de;ivery.</t>
  </si>
  <si>
    <t xml:space="preserve">TTSJV-SP    </t>
  </si>
  <si>
    <t>TTSJV</t>
  </si>
  <si>
    <t>Not Quoted</t>
  </si>
  <si>
    <t>Product Not Suitable</t>
  </si>
  <si>
    <t xml:space="preserve">serviq TT   </t>
  </si>
  <si>
    <t>SERVIQ INTERNATIONAL TRADING</t>
  </si>
  <si>
    <r>
      <rPr>
        <sz val="11"/>
        <rFont val="Aptos Display"/>
        <family val="2"/>
        <scheme val="major"/>
      </rPr>
      <t>Serviq</t>
    </r>
    <r>
      <rPr>
        <u/>
        <sz val="11"/>
        <rFont val="Aptos Display"/>
        <family val="2"/>
        <scheme val="major"/>
      </rPr>
      <t> SEC tem</t>
    </r>
    <r>
      <rPr>
        <sz val="11"/>
        <rFont val="Aptos Display"/>
        <family val="2"/>
        <scheme val="major"/>
      </rPr>
      <t>p 193 / 24 (</t>
    </r>
    <r>
      <rPr>
        <u/>
        <sz val="11"/>
        <rFont val="Aptos Display"/>
        <family val="2"/>
        <scheme val="major"/>
      </rPr>
      <t>/lightn</t>
    </r>
  </si>
  <si>
    <t>Offer Submitted / budget quote</t>
  </si>
  <si>
    <t xml:space="preserve">ALBA AA06451   </t>
  </si>
  <si>
    <t>Alba - AA06451 197 / 24 - 2005148081</t>
  </si>
  <si>
    <t>Quotation 2005148555</t>
  </si>
  <si>
    <t xml:space="preserve">BANAGAS-SP    </t>
  </si>
  <si>
    <t>BANAGAS</t>
  </si>
  <si>
    <t>202417864513</t>
  </si>
  <si>
    <t xml:space="preserve">YOKOGAWA-FIT    </t>
  </si>
  <si>
    <t>YOKOGAWA</t>
  </si>
  <si>
    <t>Competitor Offered Better Price</t>
  </si>
  <si>
    <t>10-Weeks</t>
  </si>
  <si>
    <t xml:space="preserve">Asia Y6740   </t>
  </si>
  <si>
    <t>ASIA Y6740 203 / 24</t>
  </si>
  <si>
    <t>ASIABAH Accelerated Services</t>
  </si>
  <si>
    <t xml:space="preserve">ALBA AA04072   </t>
  </si>
  <si>
    <t>ALBA AA04072 204 / 24-2005148079</t>
  </si>
  <si>
    <t xml:space="preserve">Asia y6732   </t>
  </si>
  <si>
    <t>ASIA Y6732 207 / 24 - 2005149515</t>
  </si>
  <si>
    <t xml:space="preserve">Muharraq TE   </t>
  </si>
  <si>
    <t>Muharraq WW Incinerator TE 209 /24 - 2005148229</t>
  </si>
  <si>
    <t xml:space="preserve">Wabag chlorine   </t>
  </si>
  <si>
    <t>Wabag Chlorine sensor 211 /24-2005148303</t>
  </si>
  <si>
    <t>Wabag Belhasa JV WLL</t>
  </si>
  <si>
    <t>30 days from date of delivery.</t>
  </si>
  <si>
    <t xml:space="preserve">Muharraq FM   </t>
  </si>
  <si>
    <t>Muharraq WW FM 212 / 24-2005148296</t>
  </si>
  <si>
    <t xml:space="preserve">Asia y6722   </t>
  </si>
  <si>
    <t>Asia Y6722 PT 213 / 24-2005148304</t>
  </si>
  <si>
    <t xml:space="preserve">Nomac chemicals   </t>
  </si>
  <si>
    <t>Nomac reagents 214 / 24-2005148437</t>
  </si>
  <si>
    <t>NOMAC</t>
  </si>
  <si>
    <t xml:space="preserve">intercol clampon   </t>
  </si>
  <si>
    <t>Intercol clmpon 215 / 24-2005148636</t>
  </si>
  <si>
    <t>31-Sep-2024</t>
  </si>
  <si>
    <t>10-weeks</t>
  </si>
  <si>
    <t xml:space="preserve">veolia pt   </t>
  </si>
  <si>
    <t>Veolia PT 217 / 24-2005148659</t>
  </si>
  <si>
    <t>Veolia Energy Gulf W.L.L.</t>
  </si>
  <si>
    <t xml:space="preserve">TTSJV-REAGENTS    </t>
  </si>
  <si>
    <t>TTSJV reagents 219 - 24-2005148787</t>
  </si>
  <si>
    <t>Order Placed</t>
  </si>
  <si>
    <t xml:space="preserve">Engie 30016911   </t>
  </si>
  <si>
    <t>Engie spares 220 / 24 - 2005149973</t>
  </si>
  <si>
    <t>Al Ezzel Engie O&amp;M Co. W.L.L</t>
  </si>
  <si>
    <t xml:space="preserve">Engie LT krohn replacement </t>
  </si>
  <si>
    <t>Engie FOST LT 221 / 24-2005149225</t>
  </si>
  <si>
    <t xml:space="preserve">AIC-PIT &amp;TIT   </t>
  </si>
  <si>
    <t xml:space="preserve">Alba Airmech 225 / 24 </t>
  </si>
  <si>
    <t xml:space="preserve">BSR-FIT &amp;SP   </t>
  </si>
  <si>
    <t>BSR-FIT &amp; SP -226/24</t>
  </si>
  <si>
    <t>Order placed on 06Jan-2025</t>
  </si>
  <si>
    <t>Engie service job for 196</t>
  </si>
  <si>
    <t>Engie service job 227 / 24</t>
  </si>
  <si>
    <t>offer awaited from Elizabeth</t>
  </si>
  <si>
    <t xml:space="preserve">ALBA    </t>
  </si>
  <si>
    <t>ALBA 229 / 24</t>
  </si>
  <si>
    <t>sundar</t>
  </si>
  <si>
    <t xml:space="preserve">SEPCON    </t>
  </si>
  <si>
    <t>Sepcon 230/24</t>
  </si>
  <si>
    <t xml:space="preserve">Sepcon </t>
  </si>
  <si>
    <t xml:space="preserve">MoW- Field expert tab </t>
  </si>
  <si>
    <t>MoW231/24</t>
  </si>
  <si>
    <t xml:space="preserve">Westpoint FMX21   </t>
  </si>
  <si>
    <t>Westpoint FMX21 232 / 24 - 2005150052</t>
  </si>
  <si>
    <t>West point</t>
  </si>
  <si>
    <t>Delivered</t>
  </si>
  <si>
    <t xml:space="preserve">ALMOAYYED-LIT    </t>
  </si>
  <si>
    <t>Almoyed 233/24</t>
  </si>
  <si>
    <t xml:space="preserve">ENGIE    </t>
  </si>
  <si>
    <t>Engie  234 / 24</t>
  </si>
  <si>
    <t>ebin</t>
  </si>
  <si>
    <t xml:space="preserve">ARROWFINCH-FIT(CTMS)    </t>
  </si>
  <si>
    <t>ARROWFINCH coriolis flowmeter235/24</t>
  </si>
  <si>
    <t>Arrowfinch</t>
  </si>
  <si>
    <t xml:space="preserve">Serviq PT   </t>
  </si>
  <si>
    <t>Serviq DP 236 / 24 - 2005150448</t>
  </si>
  <si>
    <t xml:space="preserve">MOW-FIT    </t>
  </si>
  <si>
    <t xml:space="preserve">MOW - FIT </t>
  </si>
  <si>
    <t xml:space="preserve">GPIC-LIT -6200001012   </t>
  </si>
  <si>
    <t xml:space="preserve">Serviq level switch  </t>
  </si>
  <si>
    <t>BAHRAIN SUGAR-M12 SOCKET 1</t>
  </si>
  <si>
    <t xml:space="preserve">Engie level   </t>
  </si>
  <si>
    <t>Engie level 241 / 24-2005150520</t>
  </si>
  <si>
    <t xml:space="preserve">EWA - WTD </t>
  </si>
  <si>
    <t>SULB</t>
  </si>
  <si>
    <t>Bahrain Steel BSCC (E.C.) - Sulb</t>
  </si>
  <si>
    <t>SEAPEAK</t>
  </si>
  <si>
    <t>Bahrain LNG/ Seapeak</t>
  </si>
  <si>
    <t>KIMCOM</t>
  </si>
  <si>
    <t>KIMCO</t>
  </si>
  <si>
    <t>no proper technical details</t>
  </si>
  <si>
    <t>HPC</t>
  </si>
  <si>
    <t>Hidd Power Co. BSC</t>
  </si>
  <si>
    <t>ENGIE</t>
  </si>
  <si>
    <t>PO Received 1 dec</t>
  </si>
  <si>
    <t>OMNI</t>
  </si>
  <si>
    <t>Veolia</t>
  </si>
  <si>
    <t>Al Moayyed</t>
  </si>
  <si>
    <t>Almoayyed</t>
  </si>
  <si>
    <t>Consip - ALBA - PT</t>
  </si>
  <si>
    <t>Comsip</t>
  </si>
  <si>
    <t>BSR</t>
  </si>
  <si>
    <t>BAPCO - LIT - Tender</t>
  </si>
  <si>
    <t>BAPCO</t>
  </si>
  <si>
    <t>TTSJV-SP</t>
  </si>
  <si>
    <t>ENGIE-LIT (FUEL TANK )</t>
  </si>
  <si>
    <t>Engie</t>
  </si>
  <si>
    <t>Sulb-sp</t>
  </si>
  <si>
    <t>Sulb</t>
  </si>
  <si>
    <t>MWW</t>
  </si>
  <si>
    <t>Muharraq WW</t>
  </si>
  <si>
    <t>SULB -SP (FOULATH )</t>
  </si>
  <si>
    <t>AIRMECH-PIT-TIT-MGL-FIT</t>
  </si>
  <si>
    <t xml:space="preserve">Airmech </t>
  </si>
  <si>
    <t>Airmech W.L.L</t>
  </si>
  <si>
    <t>Al BAKKALI</t>
  </si>
  <si>
    <t xml:space="preserve">Al Bakkali </t>
  </si>
  <si>
    <t>Al Bakali</t>
  </si>
  <si>
    <t>Part no. give n is a spl Product. Clarification requested</t>
  </si>
  <si>
    <t>Engie Flow meter</t>
  </si>
  <si>
    <t xml:space="preserve">Engie </t>
  </si>
  <si>
    <t>ALMOAYYED-SP</t>
  </si>
  <si>
    <t>Po received</t>
  </si>
  <si>
    <t>offer to be submitted in ariba</t>
  </si>
  <si>
    <t>Serviq</t>
  </si>
  <si>
    <t>Saudi Electricity Company</t>
  </si>
  <si>
    <t>Al Bakkali</t>
  </si>
  <si>
    <t>incomplete order Code. Clarification requested</t>
  </si>
  <si>
    <t>Ramya</t>
  </si>
  <si>
    <t>Engie varification</t>
  </si>
  <si>
    <t>Health check of Flow Meter - 1221011646</t>
  </si>
  <si>
    <t>Pentium technology</t>
  </si>
  <si>
    <t xml:space="preserve">Veolia </t>
  </si>
  <si>
    <t>order to be placed in Jan 1st week</t>
  </si>
  <si>
    <t xml:space="preserve">Muharraq WW </t>
  </si>
  <si>
    <t>RFQ received</t>
  </si>
  <si>
    <t xml:space="preserve">Al moayyed </t>
  </si>
  <si>
    <t xml:space="preserve">TTSJV </t>
  </si>
  <si>
    <t>ALBA</t>
  </si>
  <si>
    <t>MCSC</t>
  </si>
  <si>
    <t>Cerabar - Offer Submitted</t>
  </si>
  <si>
    <t>50% advance</t>
  </si>
  <si>
    <t>AL Bakali Flow Meter</t>
  </si>
  <si>
    <t>Al bakali</t>
  </si>
  <si>
    <t>Banagas</t>
  </si>
  <si>
    <t>PO received 22 Dec</t>
  </si>
  <si>
    <t>Engie Dp</t>
  </si>
  <si>
    <t>Alba</t>
  </si>
  <si>
    <t>Order placed on 02-Jan-2025</t>
  </si>
  <si>
    <t>MWW SP</t>
  </si>
  <si>
    <t>Offer sent on 11 Dec</t>
  </si>
  <si>
    <t>Bapco Upstream GWR</t>
  </si>
  <si>
    <t>BAPCO UPSTREAM W.L.L</t>
  </si>
  <si>
    <t>budgetary quote sent on 22 Dec</t>
  </si>
  <si>
    <t>Delta</t>
  </si>
  <si>
    <t>AL HILLO Trdg CO W.L.L,</t>
  </si>
  <si>
    <t>Quote to Delta on 22- Dec</t>
  </si>
  <si>
    <t>Intercol Disply</t>
  </si>
  <si>
    <t>Intercol</t>
  </si>
  <si>
    <t>Po received on 30-12--2024</t>
  </si>
  <si>
    <t>Yokogawa-SP</t>
  </si>
  <si>
    <t>BAPCO-78426</t>
  </si>
  <si>
    <t>BAPCO UPSTREAM</t>
  </si>
  <si>
    <t>Tabreed SP</t>
  </si>
  <si>
    <t>offer sent on 30/12/24</t>
  </si>
  <si>
    <t>offer sent on 26/12/24</t>
  </si>
  <si>
    <t>wabag</t>
  </si>
  <si>
    <t>Wabag PT 304-24 - 2005158269</t>
  </si>
  <si>
    <t>offer sent on 29/12/24</t>
  </si>
  <si>
    <t xml:space="preserve">EWA - FIT </t>
  </si>
  <si>
    <t>2 ARLA</t>
  </si>
  <si>
    <t>ARLA SPARE</t>
  </si>
  <si>
    <t>Offer sent on 07.01.2025</t>
  </si>
  <si>
    <t>BSR SERVICE</t>
  </si>
  <si>
    <t>Instead of service instrument need to replace</t>
  </si>
  <si>
    <t>Customer's Needs Changed</t>
  </si>
  <si>
    <t>4 Aluserv</t>
  </si>
  <si>
    <t>ALUSERV</t>
  </si>
  <si>
    <t>AluServ Middle East W.L.L.</t>
  </si>
  <si>
    <t>order placed</t>
  </si>
  <si>
    <t>100%advance</t>
  </si>
  <si>
    <t>ENGIE - Flowmeter</t>
  </si>
  <si>
    <t>Offer sent on 08.01.2025</t>
  </si>
  <si>
    <t>ENGIE - Flowmeter calibration</t>
  </si>
  <si>
    <t>Quote req from elizabeth.</t>
  </si>
  <si>
    <t xml:space="preserve">ARLA - TIT </t>
  </si>
  <si>
    <t>Offer submitted</t>
  </si>
  <si>
    <t>08 Alba</t>
  </si>
  <si>
    <t>RFQ removed from site, Offer not subitted</t>
  </si>
  <si>
    <t>09 intercol</t>
  </si>
  <si>
    <t>Intecol TT 09/25</t>
  </si>
  <si>
    <t>10 ENGIE AIT</t>
  </si>
  <si>
    <t xml:space="preserve">ENGIE AIT </t>
  </si>
  <si>
    <t>11 TTSJV</t>
  </si>
  <si>
    <t>TTSJY -elec.module</t>
  </si>
  <si>
    <t>12 ENGIE AIT</t>
  </si>
  <si>
    <t>13 ENGIE PIT</t>
  </si>
  <si>
    <t>ENGIE PIT</t>
  </si>
  <si>
    <t>14 SEAPEAK</t>
  </si>
  <si>
    <t>Seapeak 14 wise</t>
  </si>
  <si>
    <t>seapeak</t>
  </si>
  <si>
    <t>oem no response</t>
  </si>
  <si>
    <t>Other brand</t>
  </si>
  <si>
    <t>Not submitted</t>
  </si>
  <si>
    <t>15 GPIC</t>
  </si>
  <si>
    <t xml:space="preserve">GPIC </t>
  </si>
  <si>
    <t>16 YOKOGAWA</t>
  </si>
  <si>
    <t xml:space="preserve">YOKOGAWA - LIT - GWR - 15 /24 </t>
  </si>
  <si>
    <t>Kuwait Oil company</t>
  </si>
  <si>
    <t xml:space="preserve">regre to quote </t>
  </si>
  <si>
    <t>17 veolia energy</t>
  </si>
  <si>
    <t>veolia fit 17/25</t>
  </si>
  <si>
    <t>18 Veolia water Tec, Wise</t>
  </si>
  <si>
    <t>Wise Brand</t>
  </si>
  <si>
    <t>VEOLIA Water Tech &amp; Solutions</t>
  </si>
  <si>
    <t>quote clarification required</t>
  </si>
  <si>
    <t>Competitor Offered Better Product</t>
  </si>
  <si>
    <t>19 Mow</t>
  </si>
  <si>
    <t>mow fit 19-25</t>
  </si>
  <si>
    <t>20 Mow</t>
  </si>
  <si>
    <t>MOW AIT 20/25</t>
  </si>
  <si>
    <t>21 Comsip</t>
  </si>
  <si>
    <t xml:space="preserve">Comsip PT 21-25 </t>
  </si>
  <si>
    <t>22 Nomac</t>
  </si>
  <si>
    <t>Nomac PH 22/25</t>
  </si>
  <si>
    <t>23 - TTSJV</t>
  </si>
  <si>
    <t>TTSJV -SP</t>
  </si>
  <si>
    <t>24-ARLA</t>
  </si>
  <si>
    <t>ARLA -FIT</t>
  </si>
  <si>
    <t>25 ALBA</t>
  </si>
  <si>
    <t>ALBA DPT 25/25</t>
  </si>
  <si>
    <t>Successfully Closed</t>
  </si>
  <si>
    <t>26 ALBA</t>
  </si>
  <si>
    <t>ALBA TE 26-25</t>
  </si>
  <si>
    <t>Offer dubmitted</t>
  </si>
  <si>
    <t>27 VEOLIA ENERGY</t>
  </si>
  <si>
    <t>veolia energy FIT 27/25</t>
  </si>
  <si>
    <t>28 AIC</t>
  </si>
  <si>
    <t>30 - ARLA calibration</t>
  </si>
  <si>
    <t>ARLA calibration - universal lab</t>
  </si>
  <si>
    <t>Calibration quote given to priston</t>
  </si>
  <si>
    <t>31 veola water tech.</t>
  </si>
  <si>
    <t>VEOLIA WATER TECH 31/25</t>
  </si>
  <si>
    <t>Rev-1 submitted</t>
  </si>
  <si>
    <t>32 Alba ls</t>
  </si>
  <si>
    <t>ALBA LS 32/25</t>
  </si>
  <si>
    <t>33-TTSJV</t>
  </si>
  <si>
    <t xml:space="preserve">33 TTSJV </t>
  </si>
  <si>
    <t>34- SEAPEAK</t>
  </si>
  <si>
    <t>SEAPEAK PT 34-25</t>
  </si>
  <si>
    <t>waiting for tsp</t>
  </si>
  <si>
    <t>35 Al faris</t>
  </si>
  <si>
    <t>AL FARIS 35 -25</t>
  </si>
  <si>
    <t>follow up done</t>
  </si>
  <si>
    <t>36 TTSJV</t>
  </si>
  <si>
    <t xml:space="preserve">TTSJV  36 - 25 </t>
  </si>
  <si>
    <t>Bapco refining</t>
  </si>
  <si>
    <t>37 Seapeak</t>
  </si>
  <si>
    <t>Seapeak DPT 37/25 - 2005162348</t>
  </si>
  <si>
    <t>38 Sulb</t>
  </si>
  <si>
    <t>SULB LIT 38-25 - 2005163063</t>
  </si>
  <si>
    <t>60 DAYS</t>
  </si>
  <si>
    <t>39 Sulb</t>
  </si>
  <si>
    <t>SULB FIT 39-25 - 2005162604</t>
  </si>
  <si>
    <t>40 West point</t>
  </si>
  <si>
    <t>Westpoint LT 40-25</t>
  </si>
  <si>
    <t>41 Muharraq WW</t>
  </si>
  <si>
    <t xml:space="preserve">Muharraq WW 41 - 25 </t>
  </si>
  <si>
    <t>42 Alba</t>
  </si>
  <si>
    <t>Alba PT 42-25</t>
  </si>
  <si>
    <t>43 BAPCO upstream</t>
  </si>
  <si>
    <t>44 Arla</t>
  </si>
  <si>
    <t xml:space="preserve">ARLA </t>
  </si>
  <si>
    <t>45 Muharraq WW</t>
  </si>
  <si>
    <t xml:space="preserve">Muharraq WW 45 - 25 </t>
  </si>
  <si>
    <t xml:space="preserve">46 SULB </t>
  </si>
  <si>
    <t>SULB PT 46-25</t>
  </si>
  <si>
    <t>47 Muharraq</t>
  </si>
  <si>
    <t xml:space="preserve">Muharraq WW 47 - 25 </t>
  </si>
  <si>
    <t xml:space="preserve">48 Kraum and Spurk </t>
  </si>
  <si>
    <t xml:space="preserve">Kraum &amp; Spruk Technologies </t>
  </si>
  <si>
    <t xml:space="preserve">Product unavailability in E+H </t>
  </si>
  <si>
    <t>49 Tecton</t>
  </si>
  <si>
    <t xml:space="preserve">Tecton 49 -25 </t>
  </si>
  <si>
    <t>TECTON</t>
  </si>
  <si>
    <t xml:space="preserve">50 Yateem </t>
  </si>
  <si>
    <t>50 Yateem</t>
  </si>
  <si>
    <t>:	2005129551</t>
  </si>
  <si>
    <t xml:space="preserve">51 Engie </t>
  </si>
  <si>
    <t xml:space="preserve">Engie PIT 51 - 25 </t>
  </si>
  <si>
    <t>52 Al madar</t>
  </si>
  <si>
    <t>Al madar Ph &amp; Orp</t>
  </si>
  <si>
    <t xml:space="preserve">Al Madar Trading </t>
  </si>
  <si>
    <t>53 Engie</t>
  </si>
  <si>
    <t>ENGIE PIT 53 / 25</t>
  </si>
  <si>
    <t>54 TTSJV</t>
  </si>
  <si>
    <t xml:space="preserve">54 TTSJV </t>
  </si>
  <si>
    <t xml:space="preserve">55 BAPCO TOC </t>
  </si>
  <si>
    <t>56 Veolia water</t>
  </si>
  <si>
    <t>VEOLIA WATER TECH. FIT &amp; PT 56-25 - 2005163193</t>
  </si>
  <si>
    <t>57 TTSJV</t>
  </si>
  <si>
    <t>regret to quote</t>
  </si>
  <si>
    <t xml:space="preserve">Product unavailability in E+H PC </t>
  </si>
  <si>
    <t>58 Veolia Energy</t>
  </si>
  <si>
    <t xml:space="preserve">58 Veolia </t>
  </si>
  <si>
    <t xml:space="preserve">59 AIC </t>
  </si>
  <si>
    <t>Underprogress</t>
  </si>
  <si>
    <t>60 TTSJV</t>
  </si>
  <si>
    <t xml:space="preserve">YOKO spec not match with E H </t>
  </si>
  <si>
    <t>BAPCO Energy</t>
  </si>
  <si>
    <t>91 BAPCO ENERGY</t>
  </si>
  <si>
    <t xml:space="preserve">Closed - Spec not avialble </t>
  </si>
  <si>
    <t>VEOLIA Energy</t>
  </si>
  <si>
    <t>62 Veolia Energy</t>
  </si>
  <si>
    <t xml:space="preserve">63 Al Moayyed </t>
  </si>
  <si>
    <t xml:space="preserve">Offer sent </t>
  </si>
  <si>
    <t>Al Moayyed BTU</t>
  </si>
  <si>
    <t xml:space="preserve">64 Al Moayyed </t>
  </si>
  <si>
    <t xml:space="preserve">65 Seapeak </t>
  </si>
  <si>
    <t>ORDER PLACED</t>
  </si>
  <si>
    <t>66 MCSC</t>
  </si>
  <si>
    <t>BAHRAIN STEEL</t>
  </si>
  <si>
    <t>67 Bahrain Steel</t>
  </si>
  <si>
    <t xml:space="preserve">Offer set </t>
  </si>
  <si>
    <t>VEOLIA</t>
  </si>
  <si>
    <t xml:space="preserve">68 VEOLIA </t>
  </si>
  <si>
    <t>DELTA</t>
  </si>
  <si>
    <t>69 DELTA</t>
  </si>
  <si>
    <t>Delta Bahrain</t>
  </si>
  <si>
    <t>70 HPC</t>
  </si>
  <si>
    <t>AL Moayyed</t>
  </si>
  <si>
    <t>71 Al Moayyed FIT</t>
  </si>
  <si>
    <t xml:space="preserve">72 Al Moayyed - SP </t>
  </si>
  <si>
    <t xml:space="preserve">Al Moayyed </t>
  </si>
  <si>
    <t xml:space="preserve">73 Al Moayyed DPT </t>
  </si>
  <si>
    <t>74  BAPCO UPSTREAM</t>
  </si>
  <si>
    <t>Profetech</t>
  </si>
  <si>
    <t>PROFETECH 75/25 PIT</t>
  </si>
  <si>
    <t xml:space="preserve">ASIA TABREED </t>
  </si>
  <si>
    <t xml:space="preserve">Tabreed spare </t>
  </si>
  <si>
    <t>TABREED</t>
  </si>
  <si>
    <t>OFFER sent</t>
  </si>
  <si>
    <t>ARLA SPare</t>
  </si>
  <si>
    <t>Order placed</t>
  </si>
  <si>
    <t xml:space="preserve">EAGLE HILLS </t>
  </si>
  <si>
    <t>Eagle Hills</t>
  </si>
  <si>
    <t>MARASI MALL</t>
  </si>
  <si>
    <t>SERVICE DONE</t>
  </si>
  <si>
    <t>No reference</t>
  </si>
  <si>
    <t>VEOELIA ENERGY</t>
  </si>
  <si>
    <t>Veolia Energy</t>
  </si>
  <si>
    <t>ALBA  AA06893 - Q</t>
  </si>
  <si>
    <t>alba</t>
  </si>
  <si>
    <t>ALBA AA06884 - Q</t>
  </si>
  <si>
    <t>UNDER VARIFICATION</t>
  </si>
  <si>
    <t>ALBA - AA06882 - Q</t>
  </si>
  <si>
    <t>SYSCON</t>
  </si>
  <si>
    <t>Bahrain Steel -LS</t>
  </si>
  <si>
    <t xml:space="preserve">BAHRAIN STEEL </t>
  </si>
  <si>
    <t xml:space="preserve">NOMAC </t>
  </si>
  <si>
    <t>BAPCO  - LIT</t>
  </si>
  <si>
    <t xml:space="preserve">VEOLIA </t>
  </si>
  <si>
    <t>Aqua Technology</t>
  </si>
  <si>
    <t>AQUA TECH FIT 87-25</t>
  </si>
  <si>
    <t>Offer sent</t>
  </si>
  <si>
    <t>AHS - New tech</t>
  </si>
  <si>
    <t>AHS AIT 88-25 NEWTECH</t>
  </si>
  <si>
    <t>Faives industries</t>
  </si>
  <si>
    <t>FIVES SP 89/25 - 2005169406</t>
  </si>
  <si>
    <t>DELIVERED</t>
  </si>
  <si>
    <t>100%ADVANCE</t>
  </si>
  <si>
    <t>AIC - BAPCO</t>
  </si>
  <si>
    <t>AIC BAPCO</t>
  </si>
  <si>
    <t xml:space="preserve">in progress (handed by sundar) </t>
  </si>
  <si>
    <t>in progress</t>
  </si>
  <si>
    <t>Al Moayyed AC</t>
  </si>
  <si>
    <t>Al Moayyed AC FIT</t>
  </si>
  <si>
    <t>Baharain sugar</t>
  </si>
  <si>
    <t>OFFER SENT</t>
  </si>
  <si>
    <t>GRAMCO</t>
  </si>
  <si>
    <t>Tech query</t>
  </si>
  <si>
    <t xml:space="preserve">BAPCO </t>
  </si>
  <si>
    <t>ALBA TT 95 / 25 - 2005171794</t>
  </si>
  <si>
    <t>ALBA LIT 96-25 - 2005171051</t>
  </si>
  <si>
    <t>WAHAT AL ANSARI</t>
  </si>
  <si>
    <t>SULB LIT 98 / 25 - 2005170234</t>
  </si>
  <si>
    <t>EMAAR</t>
  </si>
  <si>
    <t>EMAAR SERVICE JOB 99-25</t>
  </si>
  <si>
    <t>Quote under approval</t>
  </si>
  <si>
    <t>AHS SP</t>
  </si>
  <si>
    <t>OFFER in progress</t>
  </si>
  <si>
    <t>Veolia Water</t>
  </si>
  <si>
    <t>VEOLIA WATER TECH AIT 102-05</t>
  </si>
  <si>
    <t>technical clarification from customer</t>
  </si>
  <si>
    <t>NOMAC AIT SERVICE 103 / 25</t>
  </si>
  <si>
    <t>under approval</t>
  </si>
  <si>
    <t>AIT- Everest Elec</t>
  </si>
  <si>
    <t>EVEREST TRADING AIT 105/25</t>
  </si>
  <si>
    <t>100 % advance</t>
  </si>
  <si>
    <t>ALBA TT 106/25</t>
  </si>
  <si>
    <t xml:space="preserve">ALBA LIT 107-25 </t>
  </si>
  <si>
    <t>Wabag</t>
  </si>
  <si>
    <t>SEAPEAK SP</t>
  </si>
  <si>
    <t>Technical clarification from customer</t>
  </si>
  <si>
    <t>TTSJV spare</t>
  </si>
  <si>
    <t>111-25 TTSJV SPARE</t>
  </si>
  <si>
    <t>BAPCO - SP</t>
  </si>
  <si>
    <t>112 - 25 BAPCO</t>
  </si>
  <si>
    <t>TABREED - ETS</t>
  </si>
  <si>
    <t>113 - 25 Tabreed</t>
  </si>
  <si>
    <t>Tabreed</t>
  </si>
  <si>
    <t>SULB - KSA</t>
  </si>
  <si>
    <t xml:space="preserve">114 - 25 </t>
  </si>
  <si>
    <t>SEAPEAK TT</t>
  </si>
  <si>
    <t xml:space="preserve">115 - 25 </t>
  </si>
  <si>
    <t>HPC-VEOLIA</t>
  </si>
  <si>
    <t xml:space="preserve">116 - 25 </t>
  </si>
  <si>
    <t>completed won</t>
  </si>
  <si>
    <t>VEOLIA WATER SP</t>
  </si>
  <si>
    <t xml:space="preserve">117 - 25 </t>
  </si>
  <si>
    <t xml:space="preserve">118 - 25 </t>
  </si>
  <si>
    <t xml:space="preserve">119 - 25 </t>
  </si>
  <si>
    <t xml:space="preserve">120 - 25 </t>
  </si>
  <si>
    <t>Technical offer sent</t>
  </si>
  <si>
    <t>121-25</t>
  </si>
  <si>
    <t>122-25</t>
  </si>
  <si>
    <t>AIRMECH</t>
  </si>
  <si>
    <t>123-25</t>
  </si>
  <si>
    <t>ENGIE-FIT</t>
  </si>
  <si>
    <t>124-25</t>
  </si>
  <si>
    <t xml:space="preserve">ARLA - FIT </t>
  </si>
  <si>
    <t xml:space="preserve">ARLA FIT </t>
  </si>
  <si>
    <t>125-25</t>
  </si>
  <si>
    <t>125-ALBA-TIT(FEED)</t>
  </si>
  <si>
    <t>ALBA TIT 125-25</t>
  </si>
  <si>
    <t>Waiting for E&amp;H offer</t>
  </si>
  <si>
    <t>126-25</t>
  </si>
  <si>
    <t>126-K&amp;S (FIT-ALBA-FEED)</t>
  </si>
  <si>
    <t>ALBA FIT 126-25</t>
  </si>
  <si>
    <t>127-25</t>
  </si>
  <si>
    <t xml:space="preserve">127-SEAPEAK </t>
  </si>
  <si>
    <t>Offer sent  14 Other brand</t>
  </si>
  <si>
    <t>128-25</t>
  </si>
  <si>
    <t>129-25</t>
  </si>
  <si>
    <t xml:space="preserve">DELTA </t>
  </si>
  <si>
    <t>DELTA 129 -25</t>
  </si>
  <si>
    <t xml:space="preserve">offer sent </t>
  </si>
  <si>
    <t>130-25</t>
  </si>
  <si>
    <t>131-25</t>
  </si>
  <si>
    <t>132-25</t>
  </si>
  <si>
    <t>BAPCO LIT</t>
  </si>
  <si>
    <t>BAPCO 132-25</t>
  </si>
  <si>
    <t>133-25</t>
  </si>
  <si>
    <t>133 ALBA LIT AA06975-Q</t>
  </si>
  <si>
    <t>ALBA LIT-133-25</t>
  </si>
  <si>
    <t>134-25</t>
  </si>
  <si>
    <t>134 ALBA PIT AA06970-Q</t>
  </si>
  <si>
    <t>ALBA PIT 134-25</t>
  </si>
  <si>
    <t>135-25</t>
  </si>
  <si>
    <t>ARLA 135-25</t>
  </si>
  <si>
    <t>136-25</t>
  </si>
  <si>
    <t>136 SULB SP</t>
  </si>
  <si>
    <t>SULB SP 136-25</t>
  </si>
  <si>
    <t>137-25</t>
  </si>
  <si>
    <t>138-25</t>
  </si>
  <si>
    <t>139-25</t>
  </si>
  <si>
    <t>139-OMNI LIT</t>
  </si>
  <si>
    <t>OMNI LIT 139-25</t>
  </si>
  <si>
    <t>140-25</t>
  </si>
  <si>
    <t>140- ALUSERVE FIT</t>
  </si>
  <si>
    <t>ALUSERV FIT 140-25</t>
  </si>
  <si>
    <t>141-25</t>
  </si>
  <si>
    <t>141-AHS-JBF LIT</t>
  </si>
  <si>
    <t>AHS JBF 141-25</t>
  </si>
  <si>
    <t>JBF filims</t>
  </si>
  <si>
    <t>Requesting for fast delivery</t>
  </si>
  <si>
    <t>142-25</t>
  </si>
  <si>
    <t>142-ALUSERV- FIT VEOLIA</t>
  </si>
  <si>
    <t xml:space="preserve">VEOLIA FIT 142-25 </t>
  </si>
  <si>
    <t>under technical and commercial evaluation</t>
  </si>
  <si>
    <t>143-25</t>
  </si>
  <si>
    <t>143-EWA-AIT-FEED</t>
  </si>
  <si>
    <t>144-25</t>
  </si>
  <si>
    <t>ARLA 144-25</t>
  </si>
  <si>
    <t>145-25</t>
  </si>
  <si>
    <t>145-MUHARRAQ WW sp</t>
  </si>
  <si>
    <t>MUHARRAQ WW SP 145/25</t>
  </si>
  <si>
    <t>146-25</t>
  </si>
  <si>
    <t>146- NOMAC (VEOLIA)</t>
  </si>
  <si>
    <t>VEOLIA WATER - 146 / 25</t>
  </si>
  <si>
    <t>147-25</t>
  </si>
  <si>
    <t>147-SYSCON FIT</t>
  </si>
  <si>
    <t>SYSCON FIT 147-25</t>
  </si>
  <si>
    <t>Waiting fro existing model details</t>
  </si>
  <si>
    <t>148-25</t>
  </si>
  <si>
    <t>148 A-MUHARRAQ WW AIT</t>
  </si>
  <si>
    <t>MUHARRAK WW AIT 148-25</t>
  </si>
  <si>
    <t>148 b-MUHARRAQ WW AIT</t>
  </si>
  <si>
    <t>150-25</t>
  </si>
  <si>
    <t>150-AIRMENCH- FIT</t>
  </si>
  <si>
    <t>AIRMECH FIT 150-25</t>
  </si>
  <si>
    <t>Technical clarification required from end user</t>
  </si>
  <si>
    <t>151-25</t>
  </si>
  <si>
    <t>151-AHS-AEMCO FIT</t>
  </si>
  <si>
    <t>AEMCO FIT 151-25</t>
  </si>
  <si>
    <t>152-25</t>
  </si>
  <si>
    <t>152- ENGIE SERVICE</t>
  </si>
  <si>
    <t>AL EZEEL SERVICE 152-25</t>
  </si>
  <si>
    <t>153-25</t>
  </si>
  <si>
    <t>153- GARMCO LIT</t>
  </si>
  <si>
    <t>GARMCO</t>
  </si>
  <si>
    <t>Peri</t>
  </si>
  <si>
    <t>154-25</t>
  </si>
  <si>
    <t>154- BAPCO TW</t>
  </si>
  <si>
    <t>155-25</t>
  </si>
  <si>
    <t>155-SEAPEAK PIT</t>
  </si>
  <si>
    <t>SEAPEAK PIT 155-25</t>
  </si>
  <si>
    <t>156-25</t>
  </si>
  <si>
    <t>156-SEAPEAK TIT</t>
  </si>
  <si>
    <t>Under technical and commercial evaluation</t>
  </si>
  <si>
    <t>157-25</t>
  </si>
  <si>
    <t>157-ENGIE ORP SERVICE</t>
  </si>
  <si>
    <t>158- VEOLIA WATER TECHNIOLOGY TIT ALI HASAN</t>
  </si>
  <si>
    <t>159-VEOLIA WATER TECHNOLOGY TIT ALISHER</t>
  </si>
  <si>
    <t>160-ENGIE SP</t>
  </si>
  <si>
    <t>ENGIEE SP 160-25</t>
  </si>
  <si>
    <t>161-BAPCO TIT</t>
  </si>
  <si>
    <t>BAPCO TIT 161/25 - 2005179112</t>
  </si>
  <si>
    <t>162-TTSJV AIT</t>
  </si>
  <si>
    <t>TTSJV AIT-162-25 - 2005177863</t>
  </si>
  <si>
    <t>received an order</t>
  </si>
  <si>
    <t>163-ENGIE</t>
  </si>
  <si>
    <t>164 E&amp;H KSA SHIPMENT</t>
  </si>
  <si>
    <t>165 MUHARRAQ WW</t>
  </si>
  <si>
    <t>MUHARRAQ WW SP 165-25</t>
  </si>
  <si>
    <t>166- ZOHAL CONSTRUCTION</t>
  </si>
  <si>
    <t>167-VOLT CUBE</t>
  </si>
  <si>
    <t>VOLT CUBE PIT-167-25</t>
  </si>
  <si>
    <t>168- ENGIE FIELD CARE</t>
  </si>
  <si>
    <t>168/25 - ENGIE FIELD CARE</t>
  </si>
  <si>
    <t>offer has submitted</t>
  </si>
  <si>
    <t>169-MOW LIT</t>
  </si>
  <si>
    <t>MOW LIT 169-25</t>
  </si>
  <si>
    <t>170-ENGIE PIT</t>
  </si>
  <si>
    <t>171-AIC- TABREED BBU</t>
  </si>
  <si>
    <t>AIC BTU 171/25 - 2005179703</t>
  </si>
  <si>
    <t>172-CPPS PIT</t>
  </si>
  <si>
    <t>CPPS PIT 172-25</t>
  </si>
  <si>
    <t>173- YOKOGAWA FS</t>
  </si>
  <si>
    <t xml:space="preserve">	
173/25 YOKOGAWA FLOWSWITCH</t>
  </si>
  <si>
    <t>174-MWW PIT</t>
  </si>
  <si>
    <t>MWW PIT-174-25</t>
  </si>
  <si>
    <t>175-TECH PRECISION LIT</t>
  </si>
  <si>
    <t>176- GARMCO LIT</t>
  </si>
  <si>
    <t>176/25 GARMCO LIT</t>
  </si>
  <si>
    <t>waiitng for Tech Clarification</t>
  </si>
  <si>
    <t>177- YOKOGAWA FSG</t>
  </si>
  <si>
    <t>177/25 YOKOGAWA FSG</t>
  </si>
  <si>
    <t>178-BAPCO UPSTREAM-FEED</t>
  </si>
  <si>
    <t>179-VOLTCUBE AIT</t>
  </si>
  <si>
    <t>VOLTCUBE AIT-179-25</t>
  </si>
  <si>
    <t>180- SULB LIT</t>
  </si>
  <si>
    <t>BAHRAIN STEEL LIT 180-25</t>
  </si>
  <si>
    <t xml:space="preserve">30Days </t>
  </si>
  <si>
    <t>181-ALBA LIT AA07047-Q</t>
  </si>
  <si>
    <t>ALBA LIT 181-25</t>
  </si>
  <si>
    <t>182-CPPS AIT</t>
  </si>
  <si>
    <t>CPPS AIT 182/25</t>
  </si>
  <si>
    <t>183 SEAPEAK PIT</t>
  </si>
  <si>
    <t>SEAPEAK TIT 183-25</t>
  </si>
  <si>
    <t xml:space="preserve">184-EVEREST </t>
  </si>
  <si>
    <t>Everest 184/25 - 2005180697</t>
  </si>
  <si>
    <t>Al Mufeed Electrical Services W.L.L</t>
  </si>
  <si>
    <t>202518808359</t>
  </si>
  <si>
    <t>185 ALBA LIT</t>
  </si>
  <si>
    <t>ALBA LIT 185-25</t>
  </si>
  <si>
    <t>187- TTSJV LI</t>
  </si>
  <si>
    <t>187- 25 TTSJV Field bus indicator - 2005181141</t>
  </si>
  <si>
    <t>188-FLORA LIT</t>
  </si>
  <si>
    <t>FLORA 188/25 LIT - 2005181109</t>
  </si>
  <si>
    <t>Flora Contracting Maintenance Services W.L.L</t>
  </si>
  <si>
    <t>202518819670</t>
  </si>
  <si>
    <t xml:space="preserve">189-TTSJV 5773 sensor </t>
  </si>
  <si>
    <t>TTSJV sensor 189-25 - 2005183066</t>
  </si>
  <si>
    <t>21.08.25</t>
  </si>
  <si>
    <t>190-25</t>
  </si>
  <si>
    <t xml:space="preserve">190-ARLA FIT </t>
  </si>
  <si>
    <t>191-25</t>
  </si>
  <si>
    <t>191-AGILE FIT</t>
  </si>
  <si>
    <t>AGILE 191/25 FIT - 2005181094</t>
  </si>
  <si>
    <t>Agile Arabia Co. W.L.L.</t>
  </si>
  <si>
    <t>202518819510</t>
  </si>
  <si>
    <t>192-25</t>
  </si>
  <si>
    <t>192-EWA FIT CLAIBRATION</t>
  </si>
  <si>
    <t>193-25</t>
  </si>
  <si>
    <t>193- GARMCO SICK SP</t>
  </si>
  <si>
    <t>GARMCO 193-25 SICK SP</t>
  </si>
  <si>
    <t>194-25</t>
  </si>
  <si>
    <t>194- ARLA LIT</t>
  </si>
  <si>
    <t>194 ARLA LS - 2005181303</t>
  </si>
  <si>
    <t>18.08.25</t>
  </si>
  <si>
    <t>195-25</t>
  </si>
  <si>
    <t>195- EWA- FIT</t>
  </si>
  <si>
    <t>196-25</t>
  </si>
  <si>
    <t>196-HPC- LIT</t>
  </si>
  <si>
    <t>HPC LIT 25 - A - 2005182785</t>
  </si>
  <si>
    <t>197-25</t>
  </si>
  <si>
    <t>197 ALBA FIT</t>
  </si>
  <si>
    <t>VEOLIA FIT 197-25</t>
  </si>
  <si>
    <t>198-25</t>
  </si>
  <si>
    <t xml:space="preserve">198-YOKOGAWA TIT </t>
  </si>
  <si>
    <t>due to competation- not working on this  opp</t>
  </si>
  <si>
    <t>199-25</t>
  </si>
  <si>
    <t>199-BAPCO UPSTREAM-FEED</t>
  </si>
  <si>
    <t>200-25</t>
  </si>
  <si>
    <t>200-EWA  WDD SP</t>
  </si>
  <si>
    <t>EWA WTD SP 200/25</t>
  </si>
  <si>
    <t>201-25</t>
  </si>
  <si>
    <t>201- EWA RE-CALIBRATION</t>
  </si>
  <si>
    <t>202-25</t>
  </si>
  <si>
    <t>202- VEOLIA ENERGY  SP</t>
  </si>
  <si>
    <t>VEOLIA SP 202/25</t>
  </si>
  <si>
    <t>203-25</t>
  </si>
  <si>
    <t>203- SULB PIT</t>
  </si>
  <si>
    <t>SULB PIT 203-25</t>
  </si>
  <si>
    <t>204-25</t>
  </si>
  <si>
    <t>204-VEOLIA ENERGY AMC</t>
  </si>
  <si>
    <t>NOT CREATED</t>
  </si>
  <si>
    <t>205-25</t>
  </si>
  <si>
    <t>205-AMPS-TECH</t>
  </si>
  <si>
    <t>AMPS TECH AIT 205/25</t>
  </si>
  <si>
    <t>206-25</t>
  </si>
  <si>
    <t>206-ABUOBAID LIT</t>
  </si>
  <si>
    <t>206-25 ABUOBAID- 2005182350</t>
  </si>
  <si>
    <t>Abuobaid</t>
  </si>
  <si>
    <t>202518853213</t>
  </si>
  <si>
    <t>207-25</t>
  </si>
  <si>
    <t>207-YOKOGAWA-FIT</t>
  </si>
  <si>
    <t>208-25</t>
  </si>
  <si>
    <t>208-WABAG PIT</t>
  </si>
  <si>
    <t>WABAG PIT 208-25</t>
  </si>
  <si>
    <t>209-25</t>
  </si>
  <si>
    <t>209-EWA FIT (FEED)</t>
  </si>
  <si>
    <t>EWA 209-25 AIT FEED - 2005182637</t>
  </si>
  <si>
    <t>202518861475</t>
  </si>
  <si>
    <t>210-25</t>
  </si>
  <si>
    <t>210 - AWAL DAIRY</t>
  </si>
  <si>
    <t>AWAL DIARY 210-25-PIT</t>
  </si>
  <si>
    <t>AWAL DAIRY</t>
  </si>
  <si>
    <t>202518864150</t>
  </si>
  <si>
    <t>211-25</t>
  </si>
  <si>
    <t>211-ENGIE AIT</t>
  </si>
  <si>
    <t>ENGIE AIT 211-25 - 2005182903</t>
  </si>
  <si>
    <t>212-25</t>
  </si>
  <si>
    <t xml:space="preserve">212- NEW WAY TRADING LIT </t>
  </si>
  <si>
    <t>New way trading LIT 212-25 - 2005182909</t>
  </si>
  <si>
    <t>213-25</t>
  </si>
  <si>
    <t>213-ALBA AIT</t>
  </si>
  <si>
    <t>ALBA AIT 213/25</t>
  </si>
  <si>
    <t>214-25</t>
  </si>
  <si>
    <t>214-197-ALBA- VEOLIA</t>
  </si>
  <si>
    <t>VEOLIA FIT 214-25</t>
  </si>
  <si>
    <t>216-25</t>
  </si>
  <si>
    <t>216-25 ALBA PIT</t>
  </si>
  <si>
    <t>ALBA PIT 216/25</t>
  </si>
  <si>
    <t>217-25</t>
  </si>
  <si>
    <t>217- VEOLIA FIT FEED</t>
  </si>
  <si>
    <t>Customer Name</t>
  </si>
  <si>
    <t>Client Type</t>
  </si>
  <si>
    <t>Total Opportunities</t>
  </si>
  <si>
    <t>Successful</t>
  </si>
  <si>
    <t>Unsuccessful</t>
  </si>
  <si>
    <t>WIP</t>
  </si>
  <si>
    <t>Total Sales</t>
  </si>
  <si>
    <t>Sale Via</t>
  </si>
  <si>
    <t>YTD Sales Summary</t>
  </si>
  <si>
    <t>Customer Summary</t>
  </si>
  <si>
    <t>Reasons for Loss</t>
  </si>
  <si>
    <t>End user</t>
  </si>
  <si>
    <t>Ahmedi industries</t>
  </si>
  <si>
    <t>End Customer</t>
  </si>
  <si>
    <t>PH</t>
  </si>
  <si>
    <t>Name</t>
  </si>
  <si>
    <t xml:space="preserve"> Customers</t>
  </si>
  <si>
    <t>Complete</t>
  </si>
  <si>
    <t>AHS</t>
  </si>
  <si>
    <t>Contractor</t>
  </si>
  <si>
    <t>Engineering Company, EPC/Licensor</t>
  </si>
  <si>
    <t>Price Too High</t>
  </si>
  <si>
    <t>Integrator</t>
  </si>
  <si>
    <t>National Reseller</t>
  </si>
  <si>
    <t>Trader</t>
  </si>
  <si>
    <t>System Integrator</t>
  </si>
  <si>
    <t>Tenders</t>
  </si>
  <si>
    <t>Total</t>
  </si>
  <si>
    <t>Third party</t>
  </si>
  <si>
    <t>Product Out of Stock</t>
  </si>
  <si>
    <t>Delivery Time Too Long</t>
  </si>
  <si>
    <t>Insufficient Product Knowledge</t>
  </si>
  <si>
    <t>Batelco</t>
  </si>
  <si>
    <t>Lack of Customer Trust</t>
  </si>
  <si>
    <r>
      <rPr>
        <sz val="11"/>
        <rFont val="Aptos Display"/>
        <family val="2"/>
        <scheme val="major"/>
      </rPr>
      <t>CPIC Abahsain Fiberglass WLL</t>
    </r>
  </si>
  <si>
    <t>Poor Customer Service</t>
  </si>
  <si>
    <t>Contractual Disputes</t>
  </si>
  <si>
    <r>
      <rPr>
        <sz val="11"/>
        <rFont val="Aptos Display"/>
        <family val="2"/>
        <scheme val="major"/>
      </rPr>
      <t>Hidd Power Co. BSC</t>
    </r>
  </si>
  <si>
    <t>Logistical Issues</t>
  </si>
  <si>
    <t>Incorrect Target Audience</t>
  </si>
  <si>
    <t>Lack of Follow-Up</t>
  </si>
  <si>
    <t>Unfavorable Payment Terms</t>
  </si>
  <si>
    <r>
      <rPr>
        <sz val="11"/>
        <rFont val="Aptos Display"/>
        <family val="2"/>
        <scheme val="major"/>
      </rPr>
      <t>Saudi Electricity Company</t>
    </r>
  </si>
  <si>
    <t>Legal or Regulatory Issues</t>
  </si>
  <si>
    <t>US NAVAL BASE</t>
  </si>
  <si>
    <r>
      <rPr>
        <sz val="11"/>
        <rFont val="Aptos Display"/>
        <family val="2"/>
        <scheme val="major"/>
      </rPr>
      <t>Wabag Belhasa JV WLL</t>
    </r>
  </si>
  <si>
    <t>HARSCO</t>
  </si>
  <si>
    <t>Aluserv</t>
  </si>
  <si>
    <t>Panorama</t>
  </si>
  <si>
    <t>Newtech KSA</t>
  </si>
  <si>
    <t>ORBITUS-SAUDI</t>
  </si>
  <si>
    <t>Shayaan</t>
  </si>
  <si>
    <t>NEWTECH INTERNATIONAL WLL</t>
  </si>
  <si>
    <t>Gulf Snipe Services W.L.L</t>
  </si>
  <si>
    <t>GREENTECH</t>
  </si>
  <si>
    <t>LEOCOM</t>
  </si>
  <si>
    <t>profetech machinery</t>
  </si>
  <si>
    <t>Prudent Solutions</t>
  </si>
  <si>
    <t>Zayika Technical Services</t>
  </si>
  <si>
    <t>Zayika</t>
  </si>
  <si>
    <t>Sr. No.</t>
  </si>
  <si>
    <t>File No</t>
  </si>
  <si>
    <t>Project</t>
  </si>
  <si>
    <t>Customer</t>
  </si>
  <si>
    <t>Offer Date</t>
  </si>
  <si>
    <t>E+H Invoice</t>
  </si>
  <si>
    <t>PH Trading Invoice</t>
  </si>
  <si>
    <t>Invoice date</t>
  </si>
  <si>
    <t>Invoice</t>
  </si>
  <si>
    <t>VAT</t>
  </si>
  <si>
    <t>Total Sale with VAT</t>
  </si>
  <si>
    <t>Cost</t>
  </si>
  <si>
    <t>Cost with VAT</t>
  </si>
  <si>
    <t>Profit</t>
  </si>
  <si>
    <t>Total Profit</t>
  </si>
  <si>
    <t>Profit %</t>
  </si>
  <si>
    <t>Completion Month</t>
  </si>
  <si>
    <t xml:space="preserve"> 151-23</t>
  </si>
  <si>
    <t>Nomac</t>
  </si>
  <si>
    <t>PH24/004</t>
  </si>
  <si>
    <t xml:space="preserve"> 127-23</t>
  </si>
  <si>
    <t>PH24/036</t>
  </si>
  <si>
    <t xml:space="preserve"> 172-23</t>
  </si>
  <si>
    <t>PH24/003</t>
  </si>
  <si>
    <t xml:space="preserve"> 147-23</t>
  </si>
  <si>
    <t>PH24/021</t>
  </si>
  <si>
    <t xml:space="preserve"> 163-23</t>
  </si>
  <si>
    <t>PH24/024</t>
  </si>
  <si>
    <t xml:space="preserve"> 160-23</t>
  </si>
  <si>
    <t>PH24/027</t>
  </si>
  <si>
    <t>Check comments</t>
  </si>
  <si>
    <t>PH24/073</t>
  </si>
  <si>
    <t xml:space="preserve"> 186-23</t>
  </si>
  <si>
    <t>PH24/005</t>
  </si>
  <si>
    <t xml:space="preserve"> 193-23</t>
  </si>
  <si>
    <t>PH24/032</t>
  </si>
  <si>
    <t xml:space="preserve"> 229-23</t>
  </si>
  <si>
    <t xml:space="preserve"> 194-23</t>
  </si>
  <si>
    <t>PH24/001</t>
  </si>
  <si>
    <t xml:space="preserve"> 233-23</t>
  </si>
  <si>
    <t>PH24/018</t>
  </si>
  <si>
    <t xml:space="preserve"> 228-23</t>
  </si>
  <si>
    <t>PH24/007</t>
  </si>
  <si>
    <t xml:space="preserve"> 230-23</t>
  </si>
  <si>
    <t>PH24/008</t>
  </si>
  <si>
    <t xml:space="preserve"> 181-23</t>
  </si>
  <si>
    <t>PH24/010</t>
  </si>
  <si>
    <t xml:space="preserve"> 215-23</t>
  </si>
  <si>
    <t>Asia</t>
  </si>
  <si>
    <t>PH24/011</t>
  </si>
  <si>
    <t xml:space="preserve"> 244-23</t>
  </si>
  <si>
    <t>PH24/012</t>
  </si>
  <si>
    <t xml:space="preserve"> 242-23</t>
  </si>
  <si>
    <t>PH24/009</t>
  </si>
  <si>
    <t xml:space="preserve"> 212-23</t>
  </si>
  <si>
    <t>PH24/013</t>
  </si>
  <si>
    <t xml:space="preserve"> 238-23</t>
  </si>
  <si>
    <t>PH24/022</t>
  </si>
  <si>
    <t xml:space="preserve"> 200-23</t>
  </si>
  <si>
    <t>Gpic</t>
  </si>
  <si>
    <t>PH24/20</t>
  </si>
  <si>
    <t xml:space="preserve"> 218-23</t>
  </si>
  <si>
    <t>PH24/037</t>
  </si>
  <si>
    <t>22-24</t>
  </si>
  <si>
    <t>PH24/028</t>
  </si>
  <si>
    <t>31-24</t>
  </si>
  <si>
    <t>PH24/033</t>
  </si>
  <si>
    <t>36-24</t>
  </si>
  <si>
    <t>PH24/040</t>
  </si>
  <si>
    <t>35-24</t>
  </si>
  <si>
    <t>PH24/019</t>
  </si>
  <si>
    <t>48-24</t>
  </si>
  <si>
    <t>PH24/029</t>
  </si>
  <si>
    <t>39-24</t>
  </si>
  <si>
    <t>PH24/041</t>
  </si>
  <si>
    <t>30-24</t>
  </si>
  <si>
    <t>PH24/056</t>
  </si>
  <si>
    <t>60-24</t>
  </si>
  <si>
    <t>PH24/030</t>
  </si>
  <si>
    <t>12-24</t>
  </si>
  <si>
    <t>PH24/042</t>
  </si>
  <si>
    <t>56-23</t>
  </si>
  <si>
    <t>PH24/031</t>
  </si>
  <si>
    <t>154-23</t>
  </si>
  <si>
    <t>PH24/023</t>
  </si>
  <si>
    <t>14-24</t>
  </si>
  <si>
    <t>PH24/026</t>
  </si>
  <si>
    <t>13-24</t>
  </si>
  <si>
    <t>PH24/017</t>
  </si>
  <si>
    <t>47-24</t>
  </si>
  <si>
    <t>PH24/016</t>
  </si>
  <si>
    <t>170-23</t>
  </si>
  <si>
    <t>PH24/060</t>
  </si>
  <si>
    <t>55-23</t>
  </si>
  <si>
    <t>PH24/050</t>
  </si>
  <si>
    <t>66-24</t>
  </si>
  <si>
    <t>PH24/038</t>
  </si>
  <si>
    <t>46-24</t>
  </si>
  <si>
    <t>PH24/057</t>
  </si>
  <si>
    <t>33-24</t>
  </si>
  <si>
    <t>PH24/043</t>
  </si>
  <si>
    <t>65-24</t>
  </si>
  <si>
    <t>PH24/044</t>
  </si>
  <si>
    <t>19-24</t>
  </si>
  <si>
    <t>PH24/045</t>
  </si>
  <si>
    <t>23-24</t>
  </si>
  <si>
    <t>PH24/046</t>
  </si>
  <si>
    <t>64-24</t>
  </si>
  <si>
    <t>PH24/047</t>
  </si>
  <si>
    <t>34-24</t>
  </si>
  <si>
    <t>PH24/049</t>
  </si>
  <si>
    <t>216-23</t>
  </si>
  <si>
    <t>PH24/114</t>
  </si>
  <si>
    <t>62-24</t>
  </si>
  <si>
    <t>PH02/048</t>
  </si>
  <si>
    <t>57-24</t>
  </si>
  <si>
    <t>PH24/061</t>
  </si>
  <si>
    <t>85-24</t>
  </si>
  <si>
    <t>PH24/039</t>
  </si>
  <si>
    <t>70-24</t>
  </si>
  <si>
    <t>PH24/058</t>
  </si>
  <si>
    <t>08-23 other</t>
  </si>
  <si>
    <t>PH24/015</t>
  </si>
  <si>
    <t>04-24 other</t>
  </si>
  <si>
    <t>77-23</t>
  </si>
  <si>
    <t>PH24/035</t>
  </si>
  <si>
    <t>10-24-other</t>
  </si>
  <si>
    <t>9340 alhillo</t>
  </si>
  <si>
    <t>PH24/034</t>
  </si>
  <si>
    <t xml:space="preserve"> 21-24</t>
  </si>
  <si>
    <t>PH24/076</t>
  </si>
  <si>
    <t>139-23</t>
  </si>
  <si>
    <t>Airmech</t>
  </si>
  <si>
    <t>PH24/075</t>
  </si>
  <si>
    <t>82-24</t>
  </si>
  <si>
    <t>PH24/055</t>
  </si>
  <si>
    <t>49-24</t>
  </si>
  <si>
    <t>PH24/054</t>
  </si>
  <si>
    <t>63-24</t>
  </si>
  <si>
    <t>PH24/064</t>
  </si>
  <si>
    <t>98-24</t>
  </si>
  <si>
    <t>PH24/066</t>
  </si>
  <si>
    <t>88-24</t>
  </si>
  <si>
    <t>PH24/077</t>
  </si>
  <si>
    <t>T23-24</t>
  </si>
  <si>
    <t>PrudentN5460-IN-P3510-0424</t>
  </si>
  <si>
    <t>PH24/062</t>
  </si>
  <si>
    <t>99-24</t>
  </si>
  <si>
    <t>PH24/086</t>
  </si>
  <si>
    <t>114-24</t>
  </si>
  <si>
    <t>PH24/067</t>
  </si>
  <si>
    <t>109-24</t>
  </si>
  <si>
    <t>PH24/65</t>
  </si>
  <si>
    <t>105-24</t>
  </si>
  <si>
    <t>PH24/080</t>
  </si>
  <si>
    <t>146-23</t>
  </si>
  <si>
    <t>Yet to Invoice</t>
  </si>
  <si>
    <t>79-23</t>
  </si>
  <si>
    <t>PH24/072</t>
  </si>
  <si>
    <t>116-24</t>
  </si>
  <si>
    <t>PH24/071</t>
  </si>
  <si>
    <t>108-24</t>
  </si>
  <si>
    <t>PH24/070</t>
  </si>
  <si>
    <t>121-24</t>
  </si>
  <si>
    <t>Teekay</t>
  </si>
  <si>
    <t>PH24/089</t>
  </si>
  <si>
    <t>T24-24</t>
  </si>
  <si>
    <t>PH24/148</t>
  </si>
  <si>
    <t>117-24</t>
  </si>
  <si>
    <t>50-24</t>
  </si>
  <si>
    <t>PH24/085</t>
  </si>
  <si>
    <t>128-24</t>
  </si>
  <si>
    <t>PH24-069</t>
  </si>
  <si>
    <t>88-23</t>
  </si>
  <si>
    <t>PH24/074</t>
  </si>
  <si>
    <t>87-24</t>
  </si>
  <si>
    <t>PH24/068</t>
  </si>
  <si>
    <t>137-24</t>
  </si>
  <si>
    <t>PH24/078</t>
  </si>
  <si>
    <t>123-24</t>
  </si>
  <si>
    <t>PH24/102</t>
  </si>
  <si>
    <t>136-24</t>
  </si>
  <si>
    <t>PH24/091</t>
  </si>
  <si>
    <t>141-24</t>
  </si>
  <si>
    <t>PH24/095</t>
  </si>
  <si>
    <t>73-24</t>
  </si>
  <si>
    <t>PH24/083</t>
  </si>
  <si>
    <t>130-24</t>
  </si>
  <si>
    <t>PH24/079</t>
  </si>
  <si>
    <t>124-24</t>
  </si>
  <si>
    <t>PH24/081</t>
  </si>
  <si>
    <t>151-24</t>
  </si>
  <si>
    <t>PH24/093</t>
  </si>
  <si>
    <t>162-24</t>
  </si>
  <si>
    <t>PH24/084</t>
  </si>
  <si>
    <t>147-24</t>
  </si>
  <si>
    <t>PH24/096</t>
  </si>
  <si>
    <t>140-24</t>
  </si>
  <si>
    <t>PH24/108</t>
  </si>
  <si>
    <t>112-24</t>
  </si>
  <si>
    <t>PH24/087</t>
  </si>
  <si>
    <t>144-24</t>
  </si>
  <si>
    <t>PH24/097</t>
  </si>
  <si>
    <t>159-24</t>
  </si>
  <si>
    <t>PH24/094</t>
  </si>
  <si>
    <t>138-24</t>
  </si>
  <si>
    <t>PH24/98</t>
  </si>
  <si>
    <t>122-24</t>
  </si>
  <si>
    <t>PH24/090</t>
  </si>
  <si>
    <t>139-24</t>
  </si>
  <si>
    <t>PH24/092</t>
  </si>
  <si>
    <t>150-24</t>
  </si>
  <si>
    <t>PH24/104</t>
  </si>
  <si>
    <t>157-24</t>
  </si>
  <si>
    <t>PH24/106</t>
  </si>
  <si>
    <t>155-24</t>
  </si>
  <si>
    <t>24/103</t>
  </si>
  <si>
    <t>179-24</t>
  </si>
  <si>
    <t>Garmco</t>
  </si>
  <si>
    <t>PH24/101</t>
  </si>
  <si>
    <t xml:space="preserve"> 1-24</t>
  </si>
  <si>
    <t>165-24</t>
  </si>
  <si>
    <t>PH24/116</t>
  </si>
  <si>
    <t>149-24</t>
  </si>
  <si>
    <t>181-24</t>
  </si>
  <si>
    <t>PH24/110</t>
  </si>
  <si>
    <t>182-24</t>
  </si>
  <si>
    <t>178-24</t>
  </si>
  <si>
    <t>PH24/100</t>
  </si>
  <si>
    <t>167-24</t>
  </si>
  <si>
    <t>PF2489/2024</t>
  </si>
  <si>
    <t>54-24</t>
  </si>
  <si>
    <t>PH24/111</t>
  </si>
  <si>
    <t>07-24(KSA)</t>
  </si>
  <si>
    <t>T20-24 (EWA-39 ANALYZER )</t>
  </si>
  <si>
    <t>NEW TECH</t>
  </si>
  <si>
    <t>198-24</t>
  </si>
  <si>
    <t>PH24/119</t>
  </si>
  <si>
    <t>Costing Mismatch</t>
  </si>
  <si>
    <t>187-24</t>
  </si>
  <si>
    <t>PH24/155</t>
  </si>
  <si>
    <t>210-24</t>
  </si>
  <si>
    <t>PH24/120</t>
  </si>
  <si>
    <t>196-24</t>
  </si>
  <si>
    <t>PH24/118</t>
  </si>
  <si>
    <t>205-24</t>
  </si>
  <si>
    <t>PH24/113</t>
  </si>
  <si>
    <t>206-24</t>
  </si>
  <si>
    <t>PH24/115</t>
  </si>
  <si>
    <t>111-24(lot-1)</t>
  </si>
  <si>
    <t>PH24/128</t>
  </si>
  <si>
    <t>111-24(lot-2)</t>
  </si>
  <si>
    <t>PH24/129</t>
  </si>
  <si>
    <t>218-24</t>
  </si>
  <si>
    <t>PH24/117</t>
  </si>
  <si>
    <t xml:space="preserve">174-24 </t>
  </si>
  <si>
    <t>PH24/134</t>
  </si>
  <si>
    <t>192-24</t>
  </si>
  <si>
    <t>PH 24/150</t>
  </si>
  <si>
    <t>228-24</t>
  </si>
  <si>
    <t>PH24/139</t>
  </si>
  <si>
    <t>216-24</t>
  </si>
  <si>
    <t>PH24/140</t>
  </si>
  <si>
    <t>223-24</t>
  </si>
  <si>
    <t>Tecton</t>
  </si>
  <si>
    <t>PH24/154</t>
  </si>
  <si>
    <t>232-24</t>
  </si>
  <si>
    <t>West Point Home</t>
  </si>
  <si>
    <t>PH2496/24</t>
  </si>
  <si>
    <t>232-23</t>
  </si>
  <si>
    <t>173-24</t>
  </si>
  <si>
    <t>PH24/125</t>
  </si>
  <si>
    <t>220-24</t>
  </si>
  <si>
    <t>PH24/141</t>
  </si>
  <si>
    <t>240-24</t>
  </si>
  <si>
    <t xml:space="preserve">     PH24/147</t>
  </si>
  <si>
    <t>249-24</t>
  </si>
  <si>
    <t>PH25-007</t>
  </si>
  <si>
    <t>222-24</t>
  </si>
  <si>
    <t>PH24/142</t>
  </si>
  <si>
    <t>224-24</t>
  </si>
  <si>
    <t>PH24/152</t>
  </si>
  <si>
    <t>217A-24</t>
  </si>
  <si>
    <t>PH24/156</t>
  </si>
  <si>
    <t>113-24</t>
  </si>
  <si>
    <t>PH24/159</t>
  </si>
  <si>
    <t>227-24</t>
  </si>
  <si>
    <t>PH24/135</t>
  </si>
  <si>
    <t>261-24</t>
  </si>
  <si>
    <t>PH 24/160</t>
  </si>
  <si>
    <t>214-24</t>
  </si>
  <si>
    <t>PH24/151</t>
  </si>
  <si>
    <t>132-24</t>
  </si>
  <si>
    <t>PH24/149</t>
  </si>
  <si>
    <t>250-24</t>
  </si>
  <si>
    <t>PH24/146</t>
  </si>
  <si>
    <t>255-24</t>
  </si>
  <si>
    <t>PH24/145</t>
  </si>
  <si>
    <t>243-24</t>
  </si>
  <si>
    <t>PH24/144</t>
  </si>
  <si>
    <t>265-24</t>
  </si>
  <si>
    <t>PH24-158</t>
  </si>
  <si>
    <t>138-24 Part2</t>
  </si>
  <si>
    <t>PH24/136</t>
  </si>
  <si>
    <t>26/24</t>
  </si>
  <si>
    <t>185/24</t>
  </si>
  <si>
    <t>PH25-002</t>
  </si>
  <si>
    <t>185A/24</t>
  </si>
  <si>
    <t>PH25-003</t>
  </si>
  <si>
    <t>14/24</t>
  </si>
  <si>
    <t>238/24</t>
  </si>
  <si>
    <t>PH25/008</t>
  </si>
  <si>
    <t>282-24</t>
  </si>
  <si>
    <t>226-24</t>
  </si>
  <si>
    <t>256-24</t>
  </si>
  <si>
    <t>120-23</t>
  </si>
  <si>
    <t>PH25-006</t>
  </si>
  <si>
    <t>253-24</t>
  </si>
  <si>
    <t>279-24</t>
  </si>
  <si>
    <t>267-24</t>
  </si>
  <si>
    <t>PH24/157</t>
  </si>
  <si>
    <t>296-24</t>
  </si>
  <si>
    <t>2507-2024</t>
  </si>
  <si>
    <t>229-24</t>
  </si>
  <si>
    <t>290-24</t>
  </si>
  <si>
    <t>PH25-005</t>
  </si>
  <si>
    <t>305-24</t>
  </si>
  <si>
    <t>PH25/010</t>
  </si>
  <si>
    <t>4-25</t>
  </si>
  <si>
    <t>2-25</t>
  </si>
  <si>
    <t>304-24</t>
  </si>
  <si>
    <t>272-24</t>
  </si>
  <si>
    <t>MEW-1386</t>
  </si>
  <si>
    <t>257-24</t>
  </si>
  <si>
    <t>06-25 and 277/24</t>
  </si>
  <si>
    <t>306-24</t>
  </si>
  <si>
    <t>6-25</t>
  </si>
  <si>
    <t>7-25</t>
  </si>
  <si>
    <t>15-25</t>
  </si>
  <si>
    <t>23-25</t>
  </si>
  <si>
    <t>25-25</t>
  </si>
  <si>
    <t>36-25</t>
  </si>
  <si>
    <t>38-25</t>
  </si>
  <si>
    <t>39-25</t>
  </si>
  <si>
    <t>40-25</t>
  </si>
  <si>
    <t>47-25</t>
  </si>
  <si>
    <t>51-25</t>
  </si>
  <si>
    <t>52-25</t>
  </si>
  <si>
    <t>GIC Invoice</t>
  </si>
  <si>
    <t>working on file</t>
  </si>
  <si>
    <t>01-24 GI</t>
  </si>
  <si>
    <t>Yokogawa</t>
  </si>
  <si>
    <t>PF -331 GBIPL /23-24</t>
  </si>
  <si>
    <t>PH24/059</t>
  </si>
  <si>
    <t>Completed</t>
  </si>
  <si>
    <t>03-24GI</t>
  </si>
  <si>
    <t>PF-199 GBIPL/24-25</t>
  </si>
  <si>
    <t>PH24/153</t>
  </si>
  <si>
    <t>09-24GI</t>
  </si>
  <si>
    <t>Seapeak</t>
  </si>
  <si>
    <t>PF 173 GBIPL/24-25</t>
  </si>
  <si>
    <t>PH24/123</t>
  </si>
  <si>
    <t>10-24GI</t>
  </si>
  <si>
    <t>PF-168 GBIPL/24-25</t>
  </si>
  <si>
    <t>PH24/105</t>
  </si>
  <si>
    <t xml:space="preserve">08-24GI	</t>
  </si>
  <si>
    <t>PH24/132</t>
  </si>
  <si>
    <t>11-24 GI</t>
  </si>
  <si>
    <t>PF - 356 GBIPL/24-25</t>
  </si>
  <si>
    <t>PH25-004</t>
  </si>
  <si>
    <t>19 - 24 GI</t>
  </si>
  <si>
    <t>PF - 400 GBIPL/24-25</t>
  </si>
  <si>
    <t>05 - 25 GI</t>
  </si>
  <si>
    <t>TATWEER</t>
  </si>
  <si>
    <t>in production</t>
  </si>
  <si>
    <t xml:space="preserve"> Invoice</t>
  </si>
  <si>
    <t>05-24 other</t>
  </si>
  <si>
    <t xml:space="preserve"> 8-24</t>
  </si>
  <si>
    <t>veolia water technologies</t>
  </si>
  <si>
    <t>Alhillo 9237</t>
  </si>
  <si>
    <t>PH 24-015</t>
  </si>
  <si>
    <t xml:space="preserve"> 4-24</t>
  </si>
  <si>
    <t>Veolia-suez</t>
  </si>
  <si>
    <t>Ningbo Qingyang Automation Technology Co,.LT</t>
  </si>
  <si>
    <t>PH 24-051</t>
  </si>
  <si>
    <t>10-24'</t>
  </si>
  <si>
    <t>Alhillo 9340</t>
  </si>
  <si>
    <t>PH 24-034</t>
  </si>
  <si>
    <t>costing sheet missing</t>
  </si>
  <si>
    <t xml:space="preserve"> T23-24</t>
  </si>
  <si>
    <t>Bapco Upstream</t>
  </si>
  <si>
    <t>20-24'</t>
  </si>
  <si>
    <t>sulb</t>
  </si>
  <si>
    <t>Servomex</t>
  </si>
  <si>
    <t>03- 25 '</t>
  </si>
  <si>
    <t>MAS</t>
  </si>
  <si>
    <t>218-25</t>
  </si>
  <si>
    <t>219-25</t>
  </si>
  <si>
    <t>220-25</t>
  </si>
  <si>
    <t>221-25</t>
  </si>
  <si>
    <t>222-25</t>
  </si>
  <si>
    <t>223-25</t>
  </si>
  <si>
    <t>215-25</t>
  </si>
  <si>
    <t>224-25</t>
  </si>
  <si>
    <t>225-25</t>
  </si>
  <si>
    <t>226-25</t>
  </si>
  <si>
    <t>227-25</t>
  </si>
  <si>
    <t>228-25</t>
  </si>
  <si>
    <t>229-25</t>
  </si>
  <si>
    <t>230-25</t>
  </si>
  <si>
    <t>231-25</t>
  </si>
  <si>
    <t>232-25</t>
  </si>
  <si>
    <t>233-25</t>
  </si>
  <si>
    <t>234-25</t>
  </si>
  <si>
    <t>218- SEAPEAK TIT</t>
  </si>
  <si>
    <t>SEAPEAK TIT 218-25 - 2005184179</t>
  </si>
  <si>
    <t>186 GPIC LIT</t>
  </si>
  <si>
    <t>227- ENGIE DPT (LIT)</t>
  </si>
  <si>
    <t>130-09-2025</t>
  </si>
  <si>
    <t>220-25 MWW</t>
  </si>
  <si>
    <t>Rfq canceled</t>
  </si>
  <si>
    <t>Muharraq W/W AIT 220-25</t>
  </si>
  <si>
    <t>222-WA-TECH SP</t>
  </si>
  <si>
    <t>WA-TECH SP-222/25</t>
  </si>
  <si>
    <t>SULB FIT 223</t>
  </si>
  <si>
    <t>223-25 SULB FIT</t>
  </si>
  <si>
    <t xml:space="preserve">BSR PIT 228-25 </t>
  </si>
  <si>
    <t>228-25 BSR</t>
  </si>
  <si>
    <t>229-25 MCSC</t>
  </si>
  <si>
    <t>MCSC SP 229/25</t>
  </si>
  <si>
    <t>230 - SEAPEAK TIT</t>
  </si>
  <si>
    <t xml:space="preserve">SEAPEAK TIT 230/25 </t>
  </si>
  <si>
    <t>224 - Al Moayyed AC</t>
  </si>
  <si>
    <t>232- EWA FIT (FEED)</t>
  </si>
  <si>
    <t>240-25</t>
  </si>
  <si>
    <t>240- BAPCO SOFTWARE</t>
  </si>
  <si>
    <t>241-25</t>
  </si>
  <si>
    <t>241- BAPCO spares for analyser</t>
  </si>
  <si>
    <t>Ministry of Works Bahrain</t>
  </si>
  <si>
    <t>234-25 ZOHAL AIT</t>
  </si>
  <si>
    <t>235-25</t>
  </si>
  <si>
    <t>236-25</t>
  </si>
  <si>
    <t>237-25</t>
  </si>
  <si>
    <t>238-25</t>
  </si>
  <si>
    <t>239-25</t>
  </si>
  <si>
    <t>239-25 ADC</t>
  </si>
  <si>
    <t>ADC FIT 239A-25</t>
  </si>
  <si>
    <t>243-25</t>
  </si>
  <si>
    <t>243-ALBA AA07153-Q</t>
  </si>
  <si>
    <t>ALBA TIT 243-25</t>
  </si>
  <si>
    <t>Offer under proceses</t>
  </si>
  <si>
    <t>244-25</t>
  </si>
  <si>
    <t>245-25</t>
  </si>
  <si>
    <t>246-25</t>
  </si>
  <si>
    <t>247-25</t>
  </si>
  <si>
    <t>248-25</t>
  </si>
  <si>
    <t>249-25</t>
  </si>
  <si>
    <t>246-ALBA PIT AA07162-Q</t>
  </si>
  <si>
    <t>ALBA PIT 246-25</t>
  </si>
  <si>
    <t>248-ALBA PIT AA07164-Q</t>
  </si>
  <si>
    <t>ALBA PIT 248/25</t>
  </si>
  <si>
    <t>249-SULB LIT</t>
  </si>
  <si>
    <t>SULB LIT 249/25</t>
  </si>
  <si>
    <t>250-25</t>
  </si>
  <si>
    <t>251-25</t>
  </si>
  <si>
    <t>251-SULB FIT</t>
  </si>
  <si>
    <t>236- HPC</t>
  </si>
  <si>
    <t>236-25 HPC</t>
  </si>
  <si>
    <t xml:space="preserve">244- HPC O ring </t>
  </si>
  <si>
    <t>245 - BAPCO SPARES</t>
  </si>
  <si>
    <t>245-25 BAPCO Spares</t>
  </si>
  <si>
    <t xml:space="preserve">224 - AL Mpayyed FIT </t>
  </si>
  <si>
    <t>240-25 BAPCO sW</t>
  </si>
  <si>
    <t>241 - BAPCO ANALYSER SPARES</t>
  </si>
  <si>
    <t>ENGIE DPT 227-25</t>
  </si>
  <si>
    <t>BAPCO  refining</t>
  </si>
  <si>
    <t>215-25 ARLA FIT MASS</t>
  </si>
  <si>
    <t>02- spet - 25</t>
  </si>
  <si>
    <t xml:space="preserve">232 - EWA FIT </t>
  </si>
  <si>
    <t>gramco</t>
  </si>
  <si>
    <t>109-25 deltA</t>
  </si>
  <si>
    <t>252-25</t>
  </si>
  <si>
    <t>252- EWA FEED RAJ RO PLANT</t>
  </si>
  <si>
    <t>253-25</t>
  </si>
  <si>
    <t>253 -AWAL DIARY COND</t>
  </si>
  <si>
    <t>254-25</t>
  </si>
  <si>
    <t xml:space="preserve">EWA FIT FEED - RAJ RO plant 252-25 </t>
  </si>
  <si>
    <t>AWAL DIARY COND 253-25</t>
  </si>
  <si>
    <t>waiting for technical clarification</t>
  </si>
  <si>
    <t>231-GREENTECH-SSK103-FMS</t>
  </si>
  <si>
    <t>BAPCO TIT 226-25</t>
  </si>
  <si>
    <t>Awal 225-25 ORP</t>
  </si>
  <si>
    <t>AIC PIT 221-25</t>
  </si>
  <si>
    <t>219-YATEEM surf park</t>
  </si>
  <si>
    <t>Out of our scope</t>
  </si>
  <si>
    <t>255-25</t>
  </si>
  <si>
    <t>256-25</t>
  </si>
  <si>
    <t>257-25</t>
  </si>
  <si>
    <t>258-25</t>
  </si>
  <si>
    <t>259-25</t>
  </si>
  <si>
    <t>260-25</t>
  </si>
  <si>
    <t>261-25</t>
  </si>
  <si>
    <t>263-25</t>
  </si>
  <si>
    <t>264-25</t>
  </si>
  <si>
    <t>265-25</t>
  </si>
  <si>
    <t>266-25</t>
  </si>
  <si>
    <t>267-25</t>
  </si>
  <si>
    <t>255-EWA-WTD-FIT(FEED)</t>
  </si>
  <si>
    <t>254- EWA SPARES</t>
  </si>
  <si>
    <t>is feed done?</t>
  </si>
  <si>
    <t>202417725562</t>
  </si>
  <si>
    <t>202417702628</t>
  </si>
  <si>
    <t xml:space="preserve">4,994.47	</t>
  </si>
  <si>
    <t xml:space="preserve">executed in june </t>
  </si>
  <si>
    <t>100% in advance</t>
  </si>
  <si>
    <t>Budjettry offer submitted</t>
  </si>
  <si>
    <t>Budgetary offer submitted.</t>
  </si>
  <si>
    <t>258-EWA FEED RIFFA PLANT</t>
  </si>
  <si>
    <t>268-25</t>
  </si>
  <si>
    <t>272-25</t>
  </si>
  <si>
    <t>275-25</t>
  </si>
  <si>
    <t>268-ALBA TIT</t>
  </si>
  <si>
    <t>281-25</t>
  </si>
  <si>
    <t>274-YATHEEM-TRADING-BTU</t>
  </si>
  <si>
    <t>275- MESAS SP</t>
  </si>
  <si>
    <t>297-25</t>
  </si>
  <si>
    <t>298-25</t>
  </si>
  <si>
    <t>299-25</t>
  </si>
  <si>
    <t>300-25</t>
  </si>
  <si>
    <t>281- KOOHEJI FIT</t>
  </si>
  <si>
    <t>Budgetary offer submitted</t>
  </si>
  <si>
    <t>297-ALBA LS</t>
  </si>
  <si>
    <t>Completed won</t>
  </si>
  <si>
    <t>298-JEREH CEMS SICK</t>
  </si>
  <si>
    <t>299- BAPCO UPSTREAM FIT</t>
  </si>
  <si>
    <t>300-BAPCO UPSTREAM LIT</t>
  </si>
  <si>
    <t>322-25</t>
  </si>
  <si>
    <t>322 -BAPCO UPSTREAM TIT</t>
  </si>
  <si>
    <t>238- ALMOAYYED FIT</t>
  </si>
  <si>
    <t>250- COMSIP PIT</t>
  </si>
  <si>
    <t>256-SULB-SERVICE (Fielt verifiation )</t>
  </si>
  <si>
    <t>259-25 INTERCOL PIT</t>
  </si>
  <si>
    <t>100% before delivery</t>
  </si>
  <si>
    <t>260-25 SEAPEAK PIT</t>
  </si>
  <si>
    <t>261-25 ENGIE FIT verification</t>
  </si>
  <si>
    <t>262-ARLA-FIT</t>
  </si>
  <si>
    <t>263-25 SEAPEAK</t>
  </si>
  <si>
    <t>264-CPPS AIT</t>
  </si>
  <si>
    <t>100%Advance</t>
  </si>
  <si>
    <t>265-EWA-PANORAMA-Battery FIT</t>
  </si>
  <si>
    <t>266-ALBA AIT</t>
  </si>
  <si>
    <t>267 - ARLA FTL</t>
  </si>
  <si>
    <t>269-25</t>
  </si>
  <si>
    <t>270-25</t>
  </si>
  <si>
    <t>271-25</t>
  </si>
  <si>
    <t>273-25</t>
  </si>
  <si>
    <t>274-25</t>
  </si>
  <si>
    <t>276-25</t>
  </si>
  <si>
    <t>277-25</t>
  </si>
  <si>
    <t>278-25</t>
  </si>
  <si>
    <t>279-25</t>
  </si>
  <si>
    <t>280-25</t>
  </si>
  <si>
    <t>282-25</t>
  </si>
  <si>
    <t>283-25</t>
  </si>
  <si>
    <t>284-25</t>
  </si>
  <si>
    <t>285-25</t>
  </si>
  <si>
    <t>286-25</t>
  </si>
  <si>
    <t>287-25</t>
  </si>
  <si>
    <t>288-25</t>
  </si>
  <si>
    <t>289-25</t>
  </si>
  <si>
    <t>290-25</t>
  </si>
  <si>
    <t>269 - ASIA PIT</t>
  </si>
  <si>
    <t>270 - ASIA FTS</t>
  </si>
  <si>
    <t>271-NOMAC-AIT-SP</t>
  </si>
  <si>
    <t>273-OMNI</t>
  </si>
  <si>
    <t>276-YOKOGAWA-IND</t>
  </si>
  <si>
    <t>277-TABREED-FEED</t>
  </si>
  <si>
    <t>278 - ALBA LIT</t>
  </si>
  <si>
    <t>Opportunity removed customer</t>
  </si>
  <si>
    <t>279 - TABREED Field check</t>
  </si>
  <si>
    <t>280 - ENGIE DPIT</t>
  </si>
  <si>
    <t>291-25</t>
  </si>
  <si>
    <t>292-25</t>
  </si>
  <si>
    <t>293-25</t>
  </si>
  <si>
    <t>294-25</t>
  </si>
  <si>
    <t>295-25</t>
  </si>
  <si>
    <t>296-25</t>
  </si>
  <si>
    <t>301-25</t>
  </si>
  <si>
    <t>302-25</t>
  </si>
  <si>
    <t>303-25</t>
  </si>
  <si>
    <t>304-25</t>
  </si>
  <si>
    <t>305-25</t>
  </si>
  <si>
    <t>306-25</t>
  </si>
  <si>
    <t>307-25</t>
  </si>
  <si>
    <t>308-25</t>
  </si>
  <si>
    <t>309-25</t>
  </si>
  <si>
    <t>310-25</t>
  </si>
  <si>
    <t>311-25</t>
  </si>
  <si>
    <t>282-YOKOGAWA-AIT</t>
  </si>
  <si>
    <t>283 - NOMAC AIT</t>
  </si>
  <si>
    <t>284 -  ASIA FIT</t>
  </si>
  <si>
    <t>285 - AMAD BAEED ELEC LIT</t>
  </si>
  <si>
    <t>286 - ENGIE SICK FIT</t>
  </si>
  <si>
    <t>287 - ENGIE DPIT (4)</t>
  </si>
  <si>
    <t>288-SULB FIT</t>
  </si>
  <si>
    <t>289 - EWA FIT FEED</t>
  </si>
  <si>
    <t>290- VEOLIA ENERGY</t>
  </si>
  <si>
    <t>291-AIRMECH-FIT TIT PG DPIT</t>
  </si>
  <si>
    <t>292 - MEHAR INTL</t>
  </si>
  <si>
    <t>293- TTSJV 5251</t>
  </si>
  <si>
    <t>294 - TTSJV AIT 5653</t>
  </si>
  <si>
    <t>295- ZOHAL FIT</t>
  </si>
  <si>
    <t>296-ALMOAYYED -PIT</t>
  </si>
  <si>
    <t>312-25</t>
  </si>
  <si>
    <t>313-25</t>
  </si>
  <si>
    <t>314-25</t>
  </si>
  <si>
    <t>315-25</t>
  </si>
  <si>
    <t>316-25</t>
  </si>
  <si>
    <t>317-25</t>
  </si>
  <si>
    <t>318-25</t>
  </si>
  <si>
    <t>319-25</t>
  </si>
  <si>
    <t>320-25</t>
  </si>
  <si>
    <t>321-25</t>
  </si>
  <si>
    <t>301-EWA SP</t>
  </si>
  <si>
    <t>302- ENGIE</t>
  </si>
  <si>
    <t>303- TTSJV</t>
  </si>
  <si>
    <t>304-Kraum &amp; Spruk TIT</t>
  </si>
  <si>
    <t>Waiting for technical clarification</t>
  </si>
  <si>
    <t>305 - ENGIE</t>
  </si>
  <si>
    <t>306- ALBA LIT</t>
  </si>
  <si>
    <t>307-KST TIT</t>
  </si>
  <si>
    <t>308-MCSC LIT</t>
  </si>
  <si>
    <t>309- VEOLIA ENERGY PIT</t>
  </si>
  <si>
    <t>Under technical clarification</t>
  </si>
  <si>
    <t>310-KST SGR</t>
  </si>
  <si>
    <t>Canceled due to integration with another opportunity.</t>
  </si>
  <si>
    <t>311-ACTEMIUM</t>
  </si>
  <si>
    <t>312-ACTEMIUM</t>
  </si>
  <si>
    <t>313 -TTSJV MEAS. CABLE 5442</t>
  </si>
  <si>
    <t>314-ALBA PIT AA07310-Q</t>
  </si>
  <si>
    <t>Offer submission 05-01-2025</t>
  </si>
  <si>
    <t>315-ENGIE FIT</t>
  </si>
  <si>
    <t>316 MOW LIT</t>
  </si>
  <si>
    <t>317-SYSCON FIT</t>
  </si>
  <si>
    <t>318-ENGIE SP</t>
  </si>
  <si>
    <t>This is a different brand; we have not participated</t>
  </si>
  <si>
    <t>319-MWW Calibration</t>
  </si>
  <si>
    <t>320-ENGIE FIT</t>
  </si>
  <si>
    <t>321-ENGIE TIT</t>
  </si>
  <si>
    <t>Local Purchase</t>
  </si>
  <si>
    <t>60 Days</t>
  </si>
  <si>
    <t xml:space="preserve">30 Days </t>
  </si>
  <si>
    <t>202519261969</t>
  </si>
  <si>
    <t>202519217659</t>
  </si>
  <si>
    <t>202519217252</t>
  </si>
  <si>
    <t>202519188155</t>
  </si>
  <si>
    <t>202519188103</t>
  </si>
  <si>
    <t>202519141572</t>
  </si>
  <si>
    <t>202519147880</t>
  </si>
  <si>
    <t>Technical Clarification requested with the client</t>
  </si>
  <si>
    <t>202519100089</t>
  </si>
  <si>
    <t>Technical clarification is required</t>
  </si>
  <si>
    <t>202519209512</t>
  </si>
  <si>
    <t>Material delivered &amp; payment received</t>
  </si>
  <si>
    <t>272-ARLA-FIT</t>
  </si>
  <si>
    <t>29 BAPCO UPSTREAM-TIT</t>
  </si>
  <si>
    <t>Tender submitter - Technical clarification</t>
  </si>
  <si>
    <t>202519243408</t>
  </si>
  <si>
    <t>257-BAPCO UPSTREAM -LIT</t>
  </si>
  <si>
    <t>Integrated with new RFQ</t>
  </si>
  <si>
    <t>offer 214-25</t>
  </si>
  <si>
    <t>Offer 197</t>
  </si>
  <si>
    <t>Under technical  evaluation</t>
  </si>
  <si>
    <t>Waiting for technical clarification/ Offer Not Submitted</t>
  </si>
  <si>
    <t>OEM clarification / Offer Not Submitted</t>
  </si>
  <si>
    <t>Offer needs to be submitted</t>
  </si>
  <si>
    <t>Technical evaluation in progress</t>
  </si>
  <si>
    <t>Final Stage</t>
  </si>
  <si>
    <t xml:space="preserve">30 days </t>
  </si>
  <si>
    <t>215- A</t>
  </si>
  <si>
    <t>215- B</t>
  </si>
  <si>
    <t>12.457.21</t>
  </si>
  <si>
    <t>in factory for calibration</t>
  </si>
  <si>
    <t>OTHER BRANDS</t>
  </si>
  <si>
    <t>DATA NOT FULLFILLED TO SELECT</t>
  </si>
  <si>
    <t xml:space="preserve">OTHER BRANDS WORKIN ON </t>
  </si>
  <si>
    <t>Sub date 14/01/26</t>
  </si>
  <si>
    <t>same opp integrated with 267- ARLA FTL</t>
  </si>
  <si>
    <t>262 A-25</t>
  </si>
  <si>
    <t>262 C-25</t>
  </si>
  <si>
    <t>54-25</t>
  </si>
  <si>
    <t>56-25</t>
  </si>
  <si>
    <t>58-25</t>
  </si>
  <si>
    <t>65-25</t>
  </si>
  <si>
    <t>67-25</t>
  </si>
  <si>
    <t>77-25</t>
  </si>
  <si>
    <t>78-25</t>
  </si>
  <si>
    <t>79-25</t>
  </si>
  <si>
    <t>80-25</t>
  </si>
  <si>
    <t>81-25</t>
  </si>
  <si>
    <t>82-25</t>
  </si>
  <si>
    <t>84-25</t>
  </si>
  <si>
    <t>86-25</t>
  </si>
  <si>
    <t>89-25</t>
  </si>
  <si>
    <t>95-25</t>
  </si>
  <si>
    <t>96-25</t>
  </si>
  <si>
    <t>97-25</t>
  </si>
  <si>
    <t>100-25</t>
  </si>
  <si>
    <t>101-25</t>
  </si>
  <si>
    <t>103-25</t>
  </si>
  <si>
    <t>106-25</t>
  </si>
  <si>
    <t>107-25</t>
  </si>
  <si>
    <t>108-25</t>
  </si>
  <si>
    <t>111-25</t>
  </si>
  <si>
    <t>112-25</t>
  </si>
  <si>
    <t>115-25</t>
  </si>
  <si>
    <t>116-25</t>
  </si>
  <si>
    <t>117-25</t>
  </si>
  <si>
    <t>118-25</t>
  </si>
  <si>
    <t>119-25</t>
  </si>
  <si>
    <t>158-25</t>
  </si>
  <si>
    <t>160-25</t>
  </si>
  <si>
    <t>162-25</t>
  </si>
  <si>
    <t>164-25</t>
  </si>
  <si>
    <t>180-25</t>
  </si>
  <si>
    <t>181-25</t>
  </si>
  <si>
    <t>183-25</t>
  </si>
  <si>
    <t>185-25</t>
  </si>
  <si>
    <t>187-25</t>
  </si>
  <si>
    <t>189-25</t>
  </si>
  <si>
    <t>202518966460</t>
  </si>
  <si>
    <t>202519075675</t>
  </si>
  <si>
    <t>202519252533</t>
  </si>
  <si>
    <t>202519063600</t>
  </si>
  <si>
    <t>202519173973</t>
  </si>
  <si>
    <t>202519018591</t>
  </si>
  <si>
    <t>202519197163</t>
  </si>
  <si>
    <t>242-25</t>
  </si>
  <si>
    <t>202518756678</t>
  </si>
  <si>
    <t>202417561428</t>
  </si>
  <si>
    <t>202518629901</t>
  </si>
  <si>
    <t>202518655900</t>
  </si>
  <si>
    <t>202417895076</t>
  </si>
  <si>
    <t>202518822175</t>
  </si>
  <si>
    <t>202519031668</t>
  </si>
  <si>
    <t>LOI received</t>
  </si>
  <si>
    <t>Who is responsible for this and what is the Current Status?</t>
  </si>
  <si>
    <t>delivery done on  9th dec where is the update?</t>
  </si>
  <si>
    <t>no offer submitted only rfq  why did we not quote?</t>
  </si>
  <si>
    <t>offer submitted in july. Did we loose it? Why?</t>
  </si>
  <si>
    <t>offer submitted in Aug. Did we loose it? Why?</t>
  </si>
  <si>
    <t>2 options 2 revisiions where is the PO?</t>
  </si>
  <si>
    <t>empty folder where is the offer?</t>
  </si>
  <si>
    <t>offer submitted in Aug. Did we loose it? Where is the update?</t>
  </si>
  <si>
    <t>feed activity ongoin? Ended? Lost? Regret to bid? What is our current status</t>
  </si>
  <si>
    <t xml:space="preserve">offer submitted in september. Does customer take 3 months to reply? </t>
  </si>
  <si>
    <t>where is the RFQ on what basis we sent quotation?</t>
  </si>
  <si>
    <t>deliverd in december not even customer name is mentioned</t>
  </si>
  <si>
    <t>no rfq on what basis are we doing feed?</t>
  </si>
  <si>
    <t xml:space="preserve">when is the next update on this? Add date in comments </t>
  </si>
  <si>
    <t>add follow up date</t>
  </si>
  <si>
    <t>what happened after budget</t>
  </si>
  <si>
    <t>are they still evaluationg us?</t>
  </si>
  <si>
    <t>does that mean we are regretting bid?</t>
  </si>
  <si>
    <t>can we close this as successful?</t>
  </si>
  <si>
    <t>who is customer name 1?</t>
  </si>
  <si>
    <t>`202519098070</t>
  </si>
  <si>
    <t>This is a 2024 opp, can we mark it as closed lost?</t>
  </si>
  <si>
    <t>Stage</t>
  </si>
  <si>
    <t>Excel Status</t>
  </si>
  <si>
    <t>Trigger/Logic</t>
  </si>
  <si>
    <t>RFQ Received</t>
  </si>
  <si>
    <t>Any new request for quotation (tender, inbound call, site visit, lead gen).</t>
  </si>
  <si>
    <t>Offer Sent</t>
  </si>
  <si>
    <t>Follow-up / Evaluation</t>
  </si>
  <si>
    <t>Customer is reviewing, clarifications ongoing, budget discussions, feed activity.</t>
  </si>
  <si>
    <t>PO/LOI Received</t>
  </si>
  <si>
    <t>Customer issues Purchase Order or Letter of Intent.</t>
  </si>
  <si>
    <t>In Process</t>
  </si>
  <si>
    <t>Order under execution: manufacturing, shipping, customs clearance, delivery.</t>
  </si>
  <si>
    <t>Goods physically delivered to customer site.</t>
  </si>
  <si>
    <t>Closed (Payment Received)</t>
  </si>
  <si>
    <t>Customer payment credited to bank, opportunity fully completed.</t>
  </si>
  <si>
    <t>when you submit any Commercial/technical proposal with prices, payment terms, etc.</t>
  </si>
  <si>
    <t>when you place Internal order booking, OEM/supplier is engaged.</t>
  </si>
  <si>
    <t>Closed  (lost)</t>
  </si>
  <si>
    <t>Select reason for loss</t>
  </si>
  <si>
    <t>delivery is done what is the update?</t>
  </si>
  <si>
    <t>202619264328</t>
  </si>
  <si>
    <t>RFQ</t>
  </si>
  <si>
    <t>COST,OFFER</t>
  </si>
  <si>
    <t>EXECUTION, PO, LOI , DN , PI,INVOICE</t>
  </si>
  <si>
    <t>WORKING,OEM  OFFER</t>
  </si>
  <si>
    <t>PROJECT ENGINEERING, PROJECT MATERIAL SUBMITTAL</t>
  </si>
  <si>
    <t/>
  </si>
  <si>
    <t>PH25/004</t>
  </si>
  <si>
    <t>PH25/002</t>
  </si>
  <si>
    <t>PH25/023</t>
  </si>
  <si>
    <t>PH25/025</t>
  </si>
  <si>
    <t>PH25/039</t>
  </si>
  <si>
    <t>PH25/040</t>
  </si>
  <si>
    <t>PH25/052</t>
  </si>
  <si>
    <t>PH25/054</t>
  </si>
  <si>
    <t>PH25/056</t>
  </si>
  <si>
    <t>PH25/065</t>
  </si>
  <si>
    <t>PH25/079</t>
  </si>
  <si>
    <t>PH25/080</t>
  </si>
  <si>
    <t>PH25/081</t>
  </si>
  <si>
    <t>PH25/082</t>
  </si>
  <si>
    <t>PH25/084</t>
  </si>
  <si>
    <t>PH25/089</t>
  </si>
  <si>
    <t>PH25/103</t>
  </si>
  <si>
    <t>PH25/107</t>
  </si>
  <si>
    <t>PH25/108</t>
  </si>
  <si>
    <t>PH25/111</t>
  </si>
  <si>
    <t>PH25/112</t>
  </si>
  <si>
    <t>PH25/115</t>
  </si>
  <si>
    <t>PH25/128</t>
  </si>
  <si>
    <t>PH25/141</t>
  </si>
  <si>
    <t>PH25/152</t>
  </si>
  <si>
    <t>PH25/158</t>
  </si>
  <si>
    <t>PH25/001</t>
  </si>
  <si>
    <t>PH25/011</t>
  </si>
  <si>
    <t>PH25/037</t>
  </si>
  <si>
    <t>PH25/026</t>
  </si>
  <si>
    <t>PH25/035</t>
  </si>
  <si>
    <t>PH25/050</t>
  </si>
  <si>
    <t>PH25/027</t>
  </si>
  <si>
    <t>PH25/043</t>
  </si>
  <si>
    <t>PH25/069</t>
  </si>
  <si>
    <t>PH25/048</t>
  </si>
  <si>
    <t>PH25/049</t>
  </si>
  <si>
    <t>PH25/059</t>
  </si>
  <si>
    <t>PH25/070</t>
  </si>
  <si>
    <t>PH25/063</t>
  </si>
  <si>
    <t>PH25/135</t>
  </si>
  <si>
    <t>PH25/074</t>
  </si>
  <si>
    <t>PH25/072</t>
  </si>
  <si>
    <t>PH25/123</t>
  </si>
  <si>
    <t>PH25/071</t>
  </si>
  <si>
    <t>PH25/121</t>
  </si>
  <si>
    <t>PH25/075</t>
  </si>
  <si>
    <t>PH25/088</t>
  </si>
  <si>
    <t>PH25/090</t>
  </si>
  <si>
    <t>PH25/083</t>
  </si>
  <si>
    <t>PH25/091</t>
  </si>
  <si>
    <t>PH25/143</t>
  </si>
  <si>
    <t>PH25/099</t>
  </si>
  <si>
    <t>PH25/098</t>
  </si>
  <si>
    <t>PH25/134</t>
  </si>
  <si>
    <t>PH25/105</t>
  </si>
  <si>
    <t>PH25/104</t>
  </si>
  <si>
    <t>PH25/124</t>
  </si>
  <si>
    <t>PH25/125</t>
  </si>
  <si>
    <t>PH25/127</t>
  </si>
  <si>
    <t>PH25/122</t>
  </si>
  <si>
    <t>PH25/131</t>
  </si>
  <si>
    <t>PH25/140</t>
  </si>
  <si>
    <t>PH25/114</t>
  </si>
  <si>
    <t>PH25/136</t>
  </si>
  <si>
    <t>PH25/133</t>
  </si>
  <si>
    <t>PH25/132</t>
  </si>
  <si>
    <t>PH25/147</t>
  </si>
  <si>
    <t>PH25/154</t>
  </si>
  <si>
    <t>PH25/153</t>
  </si>
  <si>
    <t>PH25/156</t>
  </si>
  <si>
    <t>opp. Lost</t>
  </si>
  <si>
    <t>7 - ARLA</t>
  </si>
  <si>
    <t xml:space="preserve">Out of 2 line items , we received PO for 1st line item. So in costing considered (352.004 X 9 ) </t>
  </si>
  <si>
    <t>PH25/068</t>
  </si>
  <si>
    <t>Closed</t>
  </si>
  <si>
    <t>PH25/126</t>
  </si>
  <si>
    <t>PH25/146</t>
  </si>
  <si>
    <t>No Purchase</t>
  </si>
  <si>
    <t>PH25/157</t>
  </si>
  <si>
    <t>PH25/145</t>
  </si>
  <si>
    <t>Closed/Duplicate</t>
  </si>
  <si>
    <t>6017390605+  6017390606+6017390607+6017391849+6017393794</t>
  </si>
  <si>
    <t>AHS25/02</t>
  </si>
  <si>
    <t>need to discuss ebin</t>
  </si>
  <si>
    <t>148 a-MUHARRAQ WW 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</si>
</sst>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,##0.000"/>
  </numFmts>
  <fonts count="3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6100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9C5700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"/>
      <name val="Aptos Display"/>
      <family val="2"/>
      <scheme val="major"/>
    </font>
    <font>
      <u/>
      <sz val="11"/>
      <name val="Aptos Display"/>
      <family val="2"/>
      <scheme val="major"/>
    </font>
    <font>
      <sz val="11"/>
      <color rgb="FF181818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color rgb="FF333333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name val="Aptos Narrow"/>
      <family val="2"/>
      <scheme val="minor"/>
    </font>
    <font>
      <sz val="11"/>
      <color rgb="FF181818"/>
      <name val="Segoe UI"/>
      <family val="2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181818"/>
      <name val="Segoe UI"/>
      <family val="2"/>
    </font>
    <font>
      <sz val="11"/>
      <color rgb="FF000000"/>
      <name val="Aptos Display"/>
      <family val="2"/>
      <scheme val="major"/>
    </font>
    <font>
      <sz val="11"/>
      <name val="Aptos Display"/>
      <family val="2"/>
      <scheme val="major"/>
    </font>
    <font>
      <sz val="8"/>
      <color theme="1"/>
      <name val="Segoe UI"/>
      <family val="2"/>
    </font>
    <font>
      <b/>
      <sz val="9"/>
      <color rgb="FF181818"/>
      <name val="Segoe UI"/>
      <family val="2"/>
    </font>
    <font>
      <sz val="11"/>
      <color rgb="FF000000"/>
      <name val="Arial"/>
      <family val="2"/>
    </font>
    <font>
      <b/>
      <sz val="9"/>
      <color rgb="FF181818"/>
      <name val="Segoe UI"/>
      <family val="2"/>
    </font>
    <font>
      <sz val="11"/>
      <color rgb="FF181818"/>
      <name val="Segoe UI"/>
      <family val="2"/>
    </font>
    <font>
      <sz val="11"/>
      <color theme="0"/>
      <name val="Aptos Display"/>
      <family val="2"/>
      <scheme val="major"/>
    </font>
    <font>
      <sz val="11"/>
      <color theme="1"/>
      <name val="Aptos Display"/>
      <scheme val="major"/>
    </font>
    <font>
      <sz val="7"/>
      <color rgb="FF181818"/>
      <name val="Segoe UI"/>
      <family val="2"/>
    </font>
    <font>
      <sz val="10"/>
      <color rgb="FF00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2" applyNumberFormat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7">
    <xf numFmtId="0" fontId="0" fillId="0" borderId="0" xfId="0"/>
    <xf numFmtId="0" fontId="9" fillId="2" borderId="1" xfId="0" applyFont="1" applyFill="1" applyBorder="1" applyAlignment="1">
      <alignment horizontal="left" vertical="center"/>
    </xf>
    <xf numFmtId="0" fontId="0" fillId="0" borderId="1" xfId="0" applyBorder="1"/>
    <xf numFmtId="0" fontId="8" fillId="0" borderId="1" xfId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5" fontId="5" fillId="4" borderId="1" xfId="4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0" borderId="1" xfId="2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165" fontId="0" fillId="0" borderId="1" xfId="4" applyNumberFormat="1" applyFont="1" applyBorder="1"/>
    <xf numFmtId="0" fontId="11" fillId="0" borderId="1" xfId="0" applyFont="1" applyBorder="1"/>
    <xf numFmtId="0" fontId="0" fillId="0" borderId="4" xfId="0" applyBorder="1"/>
    <xf numFmtId="0" fontId="11" fillId="12" borderId="1" xfId="0" applyFont="1" applyFill="1" applyBorder="1"/>
    <xf numFmtId="0" fontId="11" fillId="12" borderId="6" xfId="0" applyFont="1" applyFill="1" applyBorder="1"/>
    <xf numFmtId="0" fontId="11" fillId="12" borderId="3" xfId="0" applyFont="1" applyFill="1" applyBorder="1"/>
    <xf numFmtId="0" fontId="0" fillId="13" borderId="1" xfId="0" applyFill="1" applyBorder="1"/>
    <xf numFmtId="0" fontId="0" fillId="3" borderId="1" xfId="0" applyFill="1" applyBorder="1"/>
    <xf numFmtId="0" fontId="11" fillId="12" borderId="1" xfId="0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left"/>
    </xf>
    <xf numFmtId="0" fontId="6" fillId="15" borderId="1" xfId="0" applyFont="1" applyFill="1" applyBorder="1"/>
    <xf numFmtId="0" fontId="11" fillId="15" borderId="1" xfId="0" applyFont="1" applyFill="1" applyBorder="1"/>
    <xf numFmtId="0" fontId="11" fillId="11" borderId="1" xfId="0" applyFont="1" applyFill="1" applyBorder="1"/>
    <xf numFmtId="0" fontId="8" fillId="15" borderId="1" xfId="0" applyFont="1" applyFill="1" applyBorder="1"/>
    <xf numFmtId="0" fontId="0" fillId="14" borderId="1" xfId="0" applyFill="1" applyBorder="1"/>
    <xf numFmtId="0" fontId="0" fillId="0" borderId="1" xfId="0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5" fontId="8" fillId="0" borderId="1" xfId="1" applyNumberFormat="1" applyFont="1" applyFill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5" fontId="8" fillId="0" borderId="1" xfId="3" applyNumberFormat="1" applyFont="1" applyFill="1" applyBorder="1" applyAlignment="1">
      <alignment horizontal="left" vertical="center"/>
    </xf>
    <xf numFmtId="15" fontId="8" fillId="0" borderId="1" xfId="2" applyNumberFormat="1" applyFont="1" applyFill="1" applyBorder="1" applyAlignment="1">
      <alignment horizontal="left" vertical="center"/>
    </xf>
    <xf numFmtId="15" fontId="8" fillId="5" borderId="1" xfId="2" applyNumberFormat="1" applyFont="1" applyFill="1" applyBorder="1" applyAlignment="1">
      <alignment horizontal="left" vertical="center"/>
    </xf>
    <xf numFmtId="0" fontId="8" fillId="10" borderId="1" xfId="1" applyFont="1" applyFill="1" applyBorder="1" applyAlignment="1">
      <alignment horizontal="left" vertical="center"/>
    </xf>
    <xf numFmtId="15" fontId="8" fillId="10" borderId="1" xfId="1" applyNumberFormat="1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15" fontId="8" fillId="10" borderId="1" xfId="0" applyNumberFormat="1" applyFont="1" applyFill="1" applyBorder="1" applyAlignment="1">
      <alignment horizontal="left" vertical="center"/>
    </xf>
    <xf numFmtId="0" fontId="8" fillId="10" borderId="1" xfId="3" applyFont="1" applyFill="1" applyBorder="1" applyAlignment="1">
      <alignment horizontal="left" vertical="center"/>
    </xf>
    <xf numFmtId="15" fontId="8" fillId="10" borderId="1" xfId="3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2" xfId="5" applyFont="1" applyBorder="1"/>
    <xf numFmtId="165" fontId="0" fillId="0" borderId="12" xfId="4" applyNumberFormat="1" applyFont="1" applyBorder="1"/>
    <xf numFmtId="0" fontId="0" fillId="0" borderId="12" xfId="0" applyBorder="1" applyAlignment="1">
      <alignment horizontal="left" vertical="center"/>
    </xf>
    <xf numFmtId="15" fontId="0" fillId="0" borderId="12" xfId="0" applyNumberFormat="1" applyBorder="1" applyAlignment="1">
      <alignment horizontal="center" vertical="center"/>
    </xf>
    <xf numFmtId="0" fontId="0" fillId="0" borderId="12" xfId="0" applyBorder="1"/>
    <xf numFmtId="164" fontId="0" fillId="0" borderId="0" xfId="0" applyNumberFormat="1"/>
    <xf numFmtId="166" fontId="0" fillId="0" borderId="0" xfId="0" applyNumberFormat="1"/>
    <xf numFmtId="166" fontId="0" fillId="0" borderId="12" xfId="0" applyNumberFormat="1" applyBorder="1"/>
    <xf numFmtId="0" fontId="0" fillId="0" borderId="12" xfId="0" applyBorder="1" applyAlignment="1">
      <alignment horizontal="center"/>
    </xf>
    <xf numFmtId="15" fontId="0" fillId="0" borderId="12" xfId="0" applyNumberFormat="1" applyBorder="1"/>
    <xf numFmtId="166" fontId="0" fillId="0" borderId="12" xfId="4" applyNumberFormat="1" applyFont="1" applyBorder="1"/>
    <xf numFmtId="15" fontId="0" fillId="0" borderId="9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/>
    </xf>
    <xf numFmtId="0" fontId="11" fillId="13" borderId="12" xfId="0" applyFont="1" applyFill="1" applyBorder="1"/>
    <xf numFmtId="0" fontId="11" fillId="3" borderId="12" xfId="0" applyFont="1" applyFill="1" applyBorder="1"/>
    <xf numFmtId="166" fontId="11" fillId="12" borderId="12" xfId="0" applyNumberFormat="1" applyFont="1" applyFill="1" applyBorder="1"/>
    <xf numFmtId="0" fontId="11" fillId="12" borderId="12" xfId="0" applyFont="1" applyFill="1" applyBorder="1"/>
    <xf numFmtId="15" fontId="11" fillId="12" borderId="12" xfId="0" applyNumberFormat="1" applyFont="1" applyFill="1" applyBorder="1" applyAlignment="1">
      <alignment horizontal="center" vertical="center"/>
    </xf>
    <xf numFmtId="15" fontId="11" fillId="12" borderId="12" xfId="0" applyNumberFormat="1" applyFont="1" applyFill="1" applyBorder="1"/>
    <xf numFmtId="0" fontId="11" fillId="12" borderId="12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15" fontId="11" fillId="12" borderId="3" xfId="0" applyNumberFormat="1" applyFont="1" applyFill="1" applyBorder="1"/>
    <xf numFmtId="15" fontId="11" fillId="12" borderId="3" xfId="0" applyNumberFormat="1" applyFont="1" applyFill="1" applyBorder="1" applyAlignment="1">
      <alignment horizontal="center" vertical="center"/>
    </xf>
    <xf numFmtId="0" fontId="11" fillId="3" borderId="3" xfId="0" applyFont="1" applyFill="1" applyBorder="1"/>
    <xf numFmtId="0" fontId="11" fillId="13" borderId="3" xfId="0" applyFont="1" applyFill="1" applyBorder="1"/>
    <xf numFmtId="0" fontId="11" fillId="13" borderId="7" xfId="0" applyFont="1" applyFill="1" applyBorder="1"/>
    <xf numFmtId="0" fontId="0" fillId="0" borderId="12" xfId="0" applyBorder="1" applyAlignment="1">
      <alignment horizontal="left"/>
    </xf>
    <xf numFmtId="16" fontId="0" fillId="0" borderId="12" xfId="0" applyNumberFormat="1" applyBorder="1" applyAlignment="1">
      <alignment horizontal="left"/>
    </xf>
    <xf numFmtId="15" fontId="0" fillId="5" borderId="1" xfId="0" applyNumberFormat="1" applyFill="1" applyBorder="1"/>
    <xf numFmtId="165" fontId="0" fillId="0" borderId="12" xfId="4" applyNumberFormat="1" applyFont="1" applyBorder="1" applyAlignment="1"/>
    <xf numFmtId="9" fontId="0" fillId="0" borderId="12" xfId="5" applyFont="1" applyBorder="1" applyAlignment="1"/>
    <xf numFmtId="0" fontId="6" fillId="0" borderId="1" xfId="0" applyFont="1" applyBorder="1"/>
    <xf numFmtId="0" fontId="6" fillId="0" borderId="0" xfId="0" applyFont="1"/>
    <xf numFmtId="0" fontId="6" fillId="5" borderId="1" xfId="0" applyFont="1" applyFill="1" applyBorder="1"/>
    <xf numFmtId="15" fontId="6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5" fillId="12" borderId="1" xfId="0" applyFont="1" applyFill="1" applyBorder="1"/>
    <xf numFmtId="15" fontId="5" fillId="12" borderId="1" xfId="0" applyNumberFormat="1" applyFont="1" applyFill="1" applyBorder="1" applyAlignment="1">
      <alignment horizontal="center"/>
    </xf>
    <xf numFmtId="15" fontId="5" fillId="12" borderId="1" xfId="0" applyNumberFormat="1" applyFont="1" applyFill="1" applyBorder="1"/>
    <xf numFmtId="15" fontId="5" fillId="12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/>
    <xf numFmtId="0" fontId="16" fillId="3" borderId="1" xfId="0" applyFont="1" applyFill="1" applyBorder="1"/>
    <xf numFmtId="0" fontId="5" fillId="3" borderId="1" xfId="0" applyFont="1" applyFill="1" applyBorder="1"/>
    <xf numFmtId="0" fontId="5" fillId="13" borderId="1" xfId="0" applyFont="1" applyFill="1" applyBorder="1"/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165" fontId="18" fillId="0" borderId="1" xfId="4" applyNumberFormat="1" applyFont="1" applyBorder="1"/>
    <xf numFmtId="165" fontId="6" fillId="0" borderId="1" xfId="4" applyNumberFormat="1" applyFont="1" applyBorder="1"/>
    <xf numFmtId="9" fontId="6" fillId="0" borderId="1" xfId="5" applyFont="1" applyBorder="1"/>
    <xf numFmtId="0" fontId="6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5" fontId="6" fillId="5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15" fontId="17" fillId="5" borderId="1" xfId="0" applyNumberFormat="1" applyFont="1" applyFill="1" applyBorder="1" applyAlignment="1">
      <alignment horizontal="center" vertical="center"/>
    </xf>
    <xf numFmtId="165" fontId="18" fillId="5" borderId="1" xfId="4" applyNumberFormat="1" applyFont="1" applyFill="1" applyBorder="1"/>
    <xf numFmtId="165" fontId="6" fillId="5" borderId="1" xfId="4" applyNumberFormat="1" applyFont="1" applyFill="1" applyBorder="1"/>
    <xf numFmtId="9" fontId="6" fillId="5" borderId="1" xfId="5" applyFont="1" applyFill="1" applyBorder="1"/>
    <xf numFmtId="0" fontId="17" fillId="5" borderId="8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6" fillId="0" borderId="3" xfId="4" applyNumberFormat="1" applyFont="1" applyBorder="1"/>
    <xf numFmtId="165" fontId="6" fillId="0" borderId="6" xfId="4" applyNumberFormat="1" applyFont="1" applyBorder="1"/>
    <xf numFmtId="49" fontId="6" fillId="0" borderId="1" xfId="0" applyNumberFormat="1" applyFont="1" applyBorder="1" applyAlignment="1">
      <alignment horizontal="center" vertical="center"/>
    </xf>
    <xf numFmtId="165" fontId="18" fillId="0" borderId="1" xfId="4" applyNumberFormat="1" applyFont="1" applyFill="1" applyBorder="1" applyAlignment="1"/>
    <xf numFmtId="0" fontId="17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5" fontId="18" fillId="0" borderId="1" xfId="4" applyNumberFormat="1" applyFont="1" applyFill="1" applyBorder="1"/>
    <xf numFmtId="165" fontId="6" fillId="0" borderId="1" xfId="4" applyNumberFormat="1" applyFont="1" applyFill="1" applyBorder="1"/>
    <xf numFmtId="0" fontId="6" fillId="0" borderId="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165" fontId="18" fillId="10" borderId="1" xfId="4" applyNumberFormat="1" applyFont="1" applyFill="1" applyBorder="1"/>
    <xf numFmtId="15" fontId="6" fillId="0" borderId="8" xfId="0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/>
    <xf numFmtId="0" fontId="6" fillId="0" borderId="17" xfId="0" applyFont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65" fontId="18" fillId="10" borderId="1" xfId="4" applyNumberFormat="1" applyFont="1" applyFill="1" applyBorder="1" applyAlignment="1"/>
    <xf numFmtId="15" fontId="6" fillId="10" borderId="1" xfId="0" applyNumberFormat="1" applyFont="1" applyFill="1" applyBorder="1" applyAlignment="1">
      <alignment horizontal="center"/>
    </xf>
    <xf numFmtId="17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/>
    </xf>
    <xf numFmtId="15" fontId="6" fillId="0" borderId="8" xfId="0" applyNumberFormat="1" applyFont="1" applyBorder="1"/>
    <xf numFmtId="6" fontId="6" fillId="0" borderId="8" xfId="0" applyNumberFormat="1" applyFont="1" applyBorder="1" applyAlignment="1">
      <alignment horizontal="center" vertical="center"/>
    </xf>
    <xf numFmtId="6" fontId="6" fillId="0" borderId="6" xfId="0" applyNumberFormat="1" applyFont="1" applyBorder="1" applyAlignment="1">
      <alignment horizontal="center" vertical="center"/>
    </xf>
    <xf numFmtId="6" fontId="6" fillId="0" borderId="3" xfId="0" applyNumberFormat="1" applyFont="1" applyBorder="1" applyAlignment="1">
      <alignment horizontal="center" vertical="center"/>
    </xf>
    <xf numFmtId="6" fontId="6" fillId="17" borderId="1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67" fontId="18" fillId="0" borderId="1" xfId="0" applyNumberFormat="1" applyFont="1" applyBorder="1"/>
    <xf numFmtId="0" fontId="6" fillId="0" borderId="7" xfId="0" applyFont="1" applyBorder="1" applyAlignment="1">
      <alignment horizontal="center" vertical="center"/>
    </xf>
    <xf numFmtId="15" fontId="6" fillId="1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16" borderId="1" xfId="0" applyFont="1" applyFill="1" applyBorder="1"/>
    <xf numFmtId="0" fontId="6" fillId="16" borderId="1" xfId="0" applyFont="1" applyFill="1" applyBorder="1" applyAlignment="1">
      <alignment horizontal="center" vertical="center"/>
    </xf>
    <xf numFmtId="15" fontId="6" fillId="16" borderId="1" xfId="0" applyNumberFormat="1" applyFont="1" applyFill="1" applyBorder="1" applyAlignment="1">
      <alignment horizontal="center"/>
    </xf>
    <xf numFmtId="0" fontId="17" fillId="16" borderId="10" xfId="0" applyFont="1" applyFill="1" applyBorder="1" applyAlignment="1">
      <alignment horizontal="center" vertical="center"/>
    </xf>
    <xf numFmtId="15" fontId="6" fillId="16" borderId="1" xfId="0" applyNumberFormat="1" applyFont="1" applyFill="1" applyBorder="1" applyAlignment="1">
      <alignment horizontal="center" vertical="center"/>
    </xf>
    <xf numFmtId="15" fontId="17" fillId="16" borderId="1" xfId="0" applyNumberFormat="1" applyFont="1" applyFill="1" applyBorder="1" applyAlignment="1">
      <alignment horizontal="center" vertical="center"/>
    </xf>
    <xf numFmtId="167" fontId="18" fillId="16" borderId="1" xfId="0" applyNumberFormat="1" applyFont="1" applyFill="1" applyBorder="1"/>
    <xf numFmtId="165" fontId="6" fillId="16" borderId="1" xfId="4" applyNumberFormat="1" applyFont="1" applyFill="1" applyBorder="1"/>
    <xf numFmtId="165" fontId="18" fillId="16" borderId="1" xfId="4" applyNumberFormat="1" applyFont="1" applyFill="1" applyBorder="1"/>
    <xf numFmtId="15" fontId="17" fillId="0" borderId="3" xfId="0" applyNumberFormat="1" applyFont="1" applyBorder="1" applyAlignment="1">
      <alignment horizontal="center" vertical="center"/>
    </xf>
    <xf numFmtId="167" fontId="18" fillId="0" borderId="15" xfId="0" applyNumberFormat="1" applyFont="1" applyBorder="1"/>
    <xf numFmtId="165" fontId="6" fillId="0" borderId="12" xfId="4" applyNumberFormat="1" applyFont="1" applyBorder="1"/>
    <xf numFmtId="165" fontId="18" fillId="0" borderId="12" xfId="4" applyNumberFormat="1" applyFont="1" applyBorder="1"/>
    <xf numFmtId="165" fontId="6" fillId="0" borderId="5" xfId="4" applyNumberFormat="1" applyFont="1" applyBorder="1"/>
    <xf numFmtId="15" fontId="6" fillId="0" borderId="12" xfId="0" applyNumberFormat="1" applyFont="1" applyBorder="1" applyAlignment="1">
      <alignment horizontal="center" vertical="center"/>
    </xf>
    <xf numFmtId="165" fontId="6" fillId="0" borderId="12" xfId="4" applyNumberFormat="1" applyFont="1" applyFill="1" applyBorder="1"/>
    <xf numFmtId="0" fontId="18" fillId="0" borderId="12" xfId="0" applyFont="1" applyBorder="1"/>
    <xf numFmtId="165" fontId="6" fillId="0" borderId="5" xfId="4" applyNumberFormat="1" applyFont="1" applyFill="1" applyBorder="1"/>
    <xf numFmtId="165" fontId="6" fillId="0" borderId="3" xfId="4" applyNumberFormat="1" applyFont="1" applyFill="1" applyBorder="1"/>
    <xf numFmtId="15" fontId="6" fillId="0" borderId="8" xfId="0" applyNumberFormat="1" applyFont="1" applyBorder="1" applyAlignment="1">
      <alignment horizontal="center" vertical="center"/>
    </xf>
    <xf numFmtId="15" fontId="17" fillId="0" borderId="12" xfId="0" applyNumberFormat="1" applyFont="1" applyBorder="1" applyAlignment="1">
      <alignment horizontal="center" vertical="center"/>
    </xf>
    <xf numFmtId="167" fontId="18" fillId="0" borderId="12" xfId="0" applyNumberFormat="1" applyFont="1" applyBorder="1"/>
    <xf numFmtId="165" fontId="18" fillId="0" borderId="14" xfId="4" applyNumberFormat="1" applyFont="1" applyFill="1" applyBorder="1"/>
    <xf numFmtId="165" fontId="6" fillId="0" borderId="14" xfId="4" applyNumberFormat="1" applyFont="1" applyFill="1" applyBorder="1"/>
    <xf numFmtId="15" fontId="6" fillId="0" borderId="3" xfId="0" applyNumberFormat="1" applyFont="1" applyBorder="1" applyAlignment="1">
      <alignment horizontal="center" vertical="center"/>
    </xf>
    <xf numFmtId="167" fontId="18" fillId="0" borderId="11" xfId="0" applyNumberFormat="1" applyFont="1" applyBorder="1"/>
    <xf numFmtId="165" fontId="6" fillId="0" borderId="11" xfId="4" applyNumberFormat="1" applyFont="1" applyBorder="1"/>
    <xf numFmtId="165" fontId="18" fillId="0" borderId="11" xfId="4" applyNumberFormat="1" applyFont="1" applyBorder="1"/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/>
    <xf numFmtId="0" fontId="9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5" fontId="6" fillId="11" borderId="1" xfId="0" applyNumberFormat="1" applyFont="1" applyFill="1" applyBorder="1" applyAlignment="1">
      <alignment horizontal="center" vertical="center"/>
    </xf>
    <xf numFmtId="165" fontId="18" fillId="0" borderId="12" xfId="4" applyNumberFormat="1" applyFont="1" applyFill="1" applyBorder="1"/>
    <xf numFmtId="0" fontId="6" fillId="0" borderId="4" xfId="0" applyFont="1" applyBorder="1" applyAlignment="1">
      <alignment horizontal="left" vertical="center"/>
    </xf>
    <xf numFmtId="15" fontId="6" fillId="0" borderId="3" xfId="0" quotePrefix="1" applyNumberFormat="1" applyFont="1" applyBorder="1" applyAlignment="1">
      <alignment horizontal="center" vertical="center"/>
    </xf>
    <xf numFmtId="0" fontId="6" fillId="10" borderId="1" xfId="0" applyFont="1" applyFill="1" applyBorder="1" applyAlignment="1">
      <alignment horizontal="right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167" fontId="18" fillId="0" borderId="13" xfId="0" applyNumberFormat="1" applyFont="1" applyBorder="1"/>
    <xf numFmtId="15" fontId="6" fillId="10" borderId="8" xfId="0" applyNumberFormat="1" applyFont="1" applyFill="1" applyBorder="1" applyAlignment="1">
      <alignment horizontal="center" vertical="center"/>
    </xf>
    <xf numFmtId="15" fontId="6" fillId="5" borderId="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8" fillId="0" borderId="1" xfId="0" applyFont="1" applyBorder="1"/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" fontId="6" fillId="0" borderId="1" xfId="0" quotePrefix="1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7" fontId="0" fillId="10" borderId="1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10" borderId="12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15" fontId="19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/>
    <xf numFmtId="2" fontId="0" fillId="10" borderId="12" xfId="0" applyNumberFormat="1" applyFill="1" applyBorder="1"/>
    <xf numFmtId="0" fontId="0" fillId="0" borderId="11" xfId="0" applyBorder="1"/>
    <xf numFmtId="0" fontId="0" fillId="0" borderId="11" xfId="0" applyBorder="1" applyAlignment="1">
      <alignment horizontal="left" vertical="center"/>
    </xf>
    <xf numFmtId="15" fontId="0" fillId="0" borderId="11" xfId="0" applyNumberFormat="1" applyBorder="1"/>
    <xf numFmtId="165" fontId="0" fillId="0" borderId="11" xfId="4" applyNumberFormat="1" applyFont="1" applyBorder="1"/>
    <xf numFmtId="9" fontId="0" fillId="0" borderId="11" xfId="5" applyFont="1" applyBorder="1"/>
    <xf numFmtId="9" fontId="0" fillId="0" borderId="1" xfId="5" applyFont="1" applyBorder="1"/>
    <xf numFmtId="17" fontId="0" fillId="0" borderId="1" xfId="0" applyNumberFormat="1" applyBorder="1"/>
    <xf numFmtId="0" fontId="6" fillId="11" borderId="1" xfId="0" applyFont="1" applyFill="1" applyBorder="1"/>
    <xf numFmtId="0" fontId="8" fillId="11" borderId="1" xfId="0" applyFont="1" applyFill="1" applyBorder="1" applyAlignment="1">
      <alignment horizontal="left" vertical="center"/>
    </xf>
    <xf numFmtId="15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left" vertical="center"/>
    </xf>
    <xf numFmtId="15" fontId="5" fillId="0" borderId="1" xfId="4" applyNumberFormat="1" applyFont="1" applyFill="1" applyBorder="1" applyAlignment="1">
      <alignment horizontal="left" vertical="center"/>
    </xf>
    <xf numFmtId="165" fontId="6" fillId="0" borderId="1" xfId="4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right"/>
    </xf>
    <xf numFmtId="15" fontId="9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6" fillId="11" borderId="0" xfId="0" applyFont="1" applyFill="1"/>
    <xf numFmtId="0" fontId="6" fillId="10" borderId="0" xfId="0" applyFont="1" applyFill="1"/>
    <xf numFmtId="14" fontId="6" fillId="0" borderId="1" xfId="0" applyNumberFormat="1" applyFont="1" applyBorder="1" applyAlignment="1">
      <alignment horizontal="right"/>
    </xf>
    <xf numFmtId="1" fontId="9" fillId="9" borderId="1" xfId="0" applyNumberFormat="1" applyFont="1" applyFill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7" fillId="10" borderId="1" xfId="1" quotePrefix="1" applyFont="1" applyFill="1" applyBorder="1" applyAlignment="1">
      <alignment horizontal="left" vertical="center"/>
    </xf>
    <xf numFmtId="1" fontId="8" fillId="9" borderId="1" xfId="0" applyNumberFormat="1" applyFont="1" applyFill="1" applyBorder="1" applyAlignment="1">
      <alignment horizontal="left" vertical="center"/>
    </xf>
    <xf numFmtId="1" fontId="7" fillId="10" borderId="1" xfId="1" applyNumberFormat="1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left" vertical="center"/>
    </xf>
    <xf numFmtId="1" fontId="9" fillId="10" borderId="1" xfId="0" applyNumberFormat="1" applyFont="1" applyFill="1" applyBorder="1" applyAlignment="1">
      <alignment horizontal="left" vertical="center"/>
    </xf>
    <xf numFmtId="1" fontId="7" fillId="0" borderId="1" xfId="1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8" fillId="14" borderId="1" xfId="0" applyFont="1" applyFill="1" applyBorder="1"/>
    <xf numFmtId="0" fontId="8" fillId="14" borderId="1" xfId="0" applyFont="1" applyFill="1" applyBorder="1" applyAlignment="1">
      <alignment horizontal="left" vertical="center"/>
    </xf>
    <xf numFmtId="0" fontId="9" fillId="14" borderId="1" xfId="0" applyFont="1" applyFill="1" applyBorder="1"/>
    <xf numFmtId="0" fontId="8" fillId="14" borderId="1" xfId="0" applyFont="1" applyFill="1" applyBorder="1" applyAlignment="1">
      <alignment horizontal="left" vertical="top"/>
    </xf>
    <xf numFmtId="0" fontId="20" fillId="0" borderId="1" xfId="0" applyFont="1" applyBorder="1"/>
    <xf numFmtId="165" fontId="22" fillId="0" borderId="1" xfId="4" applyNumberFormat="1" applyFont="1" applyFill="1" applyBorder="1" applyAlignment="1">
      <alignment horizontal="left" vertical="center"/>
    </xf>
    <xf numFmtId="1" fontId="24" fillId="0" borderId="1" xfId="0" applyNumberFormat="1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1" fontId="20" fillId="0" borderId="1" xfId="0" applyNumberFormat="1" applyFont="1" applyBorder="1"/>
    <xf numFmtId="0" fontId="6" fillId="0" borderId="1" xfId="0" quotePrefix="1" applyFont="1" applyBorder="1"/>
    <xf numFmtId="0" fontId="6" fillId="0" borderId="1" xfId="0" quotePrefix="1" applyFont="1" applyBorder="1" applyAlignment="1">
      <alignment wrapText="1"/>
    </xf>
    <xf numFmtId="0" fontId="0" fillId="0" borderId="7" xfId="0" applyBorder="1"/>
    <xf numFmtId="0" fontId="25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right"/>
    </xf>
    <xf numFmtId="0" fontId="8" fillId="0" borderId="7" xfId="0" applyFont="1" applyBorder="1" applyAlignment="1">
      <alignment horizontal="left" vertical="center"/>
    </xf>
    <xf numFmtId="0" fontId="0" fillId="13" borderId="0" xfId="0" applyFill="1"/>
    <xf numFmtId="0" fontId="0" fillId="18" borderId="0" xfId="0" applyFill="1"/>
    <xf numFmtId="0" fontId="5" fillId="12" borderId="0" xfId="0" applyFont="1" applyFill="1" applyAlignment="1">
      <alignment horizontal="center" vertical="center"/>
    </xf>
    <xf numFmtId="1" fontId="22" fillId="0" borderId="1" xfId="0" applyNumberFormat="1" applyFont="1" applyBorder="1" applyAlignment="1">
      <alignment horizontal="right"/>
    </xf>
    <xf numFmtId="0" fontId="25" fillId="0" borderId="1" xfId="3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23" fillId="0" borderId="1" xfId="0" applyFont="1" applyBorder="1"/>
    <xf numFmtId="0" fontId="22" fillId="0" borderId="1" xfId="0" applyFont="1" applyBorder="1"/>
    <xf numFmtId="0" fontId="26" fillId="0" borderId="1" xfId="0" applyFont="1" applyBorder="1" applyAlignment="1">
      <alignment vertical="center" wrapText="1"/>
    </xf>
    <xf numFmtId="0" fontId="6" fillId="19" borderId="1" xfId="0" applyFont="1" applyFill="1" applyBorder="1" applyAlignment="1">
      <alignment horizontal="left" vertical="center"/>
    </xf>
    <xf numFmtId="0" fontId="6" fillId="19" borderId="1" xfId="0" applyFont="1" applyFill="1" applyBorder="1"/>
    <xf numFmtId="0" fontId="6" fillId="19" borderId="0" xfId="0" applyFont="1" applyFill="1"/>
    <xf numFmtId="0" fontId="6" fillId="19" borderId="1" xfId="0" applyFont="1" applyFill="1" applyBorder="1" applyAlignment="1">
      <alignment horizontal="right"/>
    </xf>
    <xf numFmtId="15" fontId="6" fillId="19" borderId="1" xfId="0" applyNumberFormat="1" applyFont="1" applyFill="1" applyBorder="1"/>
    <xf numFmtId="0" fontId="6" fillId="9" borderId="1" xfId="0" applyFont="1" applyFill="1" applyBorder="1"/>
    <xf numFmtId="0" fontId="6" fillId="9" borderId="1" xfId="0" applyFont="1" applyFill="1" applyBorder="1" applyAlignment="1">
      <alignment horizontal="right"/>
    </xf>
    <xf numFmtId="15" fontId="6" fillId="9" borderId="1" xfId="0" applyNumberFormat="1" applyFont="1" applyFill="1" applyBorder="1"/>
    <xf numFmtId="0" fontId="6" fillId="9" borderId="0" xfId="0" applyFont="1" applyFill="1"/>
    <xf numFmtId="15" fontId="6" fillId="10" borderId="1" xfId="0" applyNumberFormat="1" applyFont="1" applyFill="1" applyBorder="1"/>
    <xf numFmtId="0" fontId="6" fillId="20" borderId="1" xfId="0" applyFont="1" applyFill="1" applyBorder="1" applyAlignment="1">
      <alignment horizontal="left" vertical="center"/>
    </xf>
    <xf numFmtId="0" fontId="6" fillId="20" borderId="1" xfId="0" applyFont="1" applyFill="1" applyBorder="1"/>
    <xf numFmtId="0" fontId="6" fillId="20" borderId="1" xfId="0" applyFont="1" applyFill="1" applyBorder="1" applyAlignment="1">
      <alignment horizontal="right"/>
    </xf>
    <xf numFmtId="15" fontId="6" fillId="20" borderId="1" xfId="0" applyNumberFormat="1" applyFont="1" applyFill="1" applyBorder="1"/>
    <xf numFmtId="0" fontId="6" fillId="20" borderId="0" xfId="0" applyFont="1" applyFill="1"/>
    <xf numFmtId="1" fontId="6" fillId="20" borderId="1" xfId="0" applyNumberFormat="1" applyFont="1" applyFill="1" applyBorder="1" applyAlignment="1">
      <alignment horizontal="right"/>
    </xf>
    <xf numFmtId="0" fontId="18" fillId="20" borderId="1" xfId="0" applyFont="1" applyFill="1" applyBorder="1"/>
    <xf numFmtId="0" fontId="0" fillId="20" borderId="0" xfId="0" applyFill="1"/>
    <xf numFmtId="14" fontId="6" fillId="20" borderId="1" xfId="0" applyNumberFormat="1" applyFont="1" applyFill="1" applyBorder="1" applyAlignment="1">
      <alignment horizontal="right"/>
    </xf>
    <xf numFmtId="0" fontId="0" fillId="10" borderId="0" xfId="0" applyFill="1"/>
    <xf numFmtId="0" fontId="8" fillId="9" borderId="1" xfId="1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right"/>
    </xf>
    <xf numFmtId="0" fontId="8" fillId="9" borderId="1" xfId="3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0" fillId="5" borderId="1" xfId="0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1" fontId="7" fillId="9" borderId="1" xfId="1" applyNumberFormat="1" applyFont="1" applyFill="1" applyBorder="1" applyAlignment="1">
      <alignment horizontal="left" vertical="center"/>
    </xf>
    <xf numFmtId="15" fontId="8" fillId="9" borderId="1" xfId="1" applyNumberFormat="1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0" fillId="9" borderId="0" xfId="0" applyFill="1"/>
    <xf numFmtId="15" fontId="25" fillId="0" borderId="1" xfId="3" applyNumberFormat="1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6" fillId="9" borderId="1" xfId="0" quotePrefix="1" applyFont="1" applyFill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right" vertical="center"/>
    </xf>
    <xf numFmtId="165" fontId="6" fillId="0" borderId="1" xfId="4" applyNumberFormat="1" applyFont="1" applyBorder="1" applyAlignment="1">
      <alignment horizontal="right" vertical="center"/>
    </xf>
    <xf numFmtId="165" fontId="6" fillId="0" borderId="1" xfId="4" applyNumberFormat="1" applyFont="1" applyFill="1" applyBorder="1" applyAlignment="1">
      <alignment horizontal="right" vertical="center"/>
    </xf>
    <xf numFmtId="165" fontId="9" fillId="0" borderId="1" xfId="4" applyNumberFormat="1" applyFont="1" applyFill="1" applyBorder="1" applyAlignment="1">
      <alignment horizontal="right" vertical="center"/>
    </xf>
    <xf numFmtId="165" fontId="9" fillId="0" borderId="1" xfId="4" applyNumberFormat="1" applyFont="1" applyFill="1" applyBorder="1" applyAlignment="1">
      <alignment horizontal="right" vertical="center" shrinkToFit="1"/>
    </xf>
    <xf numFmtId="165" fontId="9" fillId="2" borderId="1" xfId="4" applyNumberFormat="1" applyFont="1" applyFill="1" applyBorder="1" applyAlignment="1">
      <alignment horizontal="right" vertical="center"/>
    </xf>
    <xf numFmtId="165" fontId="9" fillId="0" borderId="1" xfId="4" applyNumberFormat="1" applyFont="1" applyBorder="1" applyAlignment="1">
      <alignment horizontal="right" vertical="center" shrinkToFit="1"/>
    </xf>
    <xf numFmtId="165" fontId="9" fillId="10" borderId="1" xfId="4" applyNumberFormat="1" applyFont="1" applyFill="1" applyBorder="1" applyAlignment="1">
      <alignment horizontal="right" vertical="center"/>
    </xf>
    <xf numFmtId="165" fontId="9" fillId="10" borderId="1" xfId="4" applyNumberFormat="1" applyFont="1" applyFill="1" applyBorder="1" applyAlignment="1">
      <alignment horizontal="right" vertical="center" shrinkToFit="1"/>
    </xf>
    <xf numFmtId="165" fontId="10" fillId="7" borderId="1" xfId="4" applyNumberFormat="1" applyFont="1" applyFill="1" applyBorder="1" applyAlignment="1">
      <alignment horizontal="right" vertical="center"/>
    </xf>
    <xf numFmtId="165" fontId="9" fillId="9" borderId="1" xfId="4" applyNumberFormat="1" applyFont="1" applyFill="1" applyBorder="1" applyAlignment="1">
      <alignment horizontal="right" vertical="center"/>
    </xf>
    <xf numFmtId="165" fontId="6" fillId="10" borderId="1" xfId="4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/>
    </xf>
    <xf numFmtId="165" fontId="6" fillId="9" borderId="1" xfId="0" applyNumberFormat="1" applyFont="1" applyFill="1" applyBorder="1" applyAlignment="1">
      <alignment horizontal="right"/>
    </xf>
    <xf numFmtId="165" fontId="6" fillId="20" borderId="1" xfId="0" applyNumberFormat="1" applyFont="1" applyFill="1" applyBorder="1" applyAlignment="1">
      <alignment horizontal="right"/>
    </xf>
    <xf numFmtId="165" fontId="9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5" fontId="6" fillId="19" borderId="1" xfId="0" applyNumberFormat="1" applyFont="1" applyFill="1" applyBorder="1" applyAlignment="1">
      <alignment horizontal="right"/>
    </xf>
    <xf numFmtId="165" fontId="6" fillId="10" borderId="1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8" xfId="0" applyFont="1" applyBorder="1"/>
    <xf numFmtId="0" fontId="18" fillId="0" borderId="4" xfId="0" applyFont="1" applyBorder="1" applyAlignment="1">
      <alignment horizontal="left" vertical="center"/>
    </xf>
    <xf numFmtId="0" fontId="6" fillId="0" borderId="4" xfId="0" applyFont="1" applyBorder="1"/>
    <xf numFmtId="0" fontId="6" fillId="3" borderId="1" xfId="0" applyFont="1" applyFill="1" applyBorder="1"/>
    <xf numFmtId="0" fontId="32" fillId="0" borderId="1" xfId="0" quotePrefix="1" applyFont="1" applyBorder="1" applyAlignment="1">
      <alignment horizontal="right"/>
    </xf>
    <xf numFmtId="0" fontId="32" fillId="0" borderId="1" xfId="0" applyFont="1" applyBorder="1"/>
    <xf numFmtId="165" fontId="6" fillId="5" borderId="1" xfId="4" applyNumberFormat="1" applyFont="1" applyFill="1" applyBorder="1" applyAlignment="1">
      <alignment horizontal="right" vertical="center"/>
    </xf>
    <xf numFmtId="15" fontId="8" fillId="5" borderId="1" xfId="0" applyNumberFormat="1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6" fillId="5" borderId="0" xfId="0" applyFont="1" applyFill="1"/>
    <xf numFmtId="1" fontId="8" fillId="5" borderId="1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1" fontId="9" fillId="5" borderId="1" xfId="0" applyNumberFormat="1" applyFont="1" applyFill="1" applyBorder="1" applyAlignment="1">
      <alignment horizontal="left" vertical="center"/>
    </xf>
    <xf numFmtId="165" fontId="9" fillId="5" borderId="1" xfId="4" applyNumberFormat="1" applyFont="1" applyFill="1" applyBorder="1" applyAlignment="1">
      <alignment horizontal="right" vertical="center"/>
    </xf>
    <xf numFmtId="1" fontId="6" fillId="5" borderId="1" xfId="1" applyNumberFormat="1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/>
    </xf>
    <xf numFmtId="15" fontId="8" fillId="5" borderId="1" xfId="1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" fontId="7" fillId="5" borderId="1" xfId="1" applyNumberFormat="1" applyFont="1" applyFill="1" applyBorder="1" applyAlignment="1">
      <alignment horizontal="left" vertical="center"/>
    </xf>
    <xf numFmtId="0" fontId="0" fillId="5" borderId="0" xfId="0" applyFill="1"/>
    <xf numFmtId="1" fontId="6" fillId="5" borderId="1" xfId="0" applyNumberFormat="1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right" vertical="center"/>
    </xf>
    <xf numFmtId="15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15" fontId="6" fillId="5" borderId="1" xfId="0" applyNumberFormat="1" applyFont="1" applyFill="1" applyBorder="1"/>
    <xf numFmtId="0" fontId="25" fillId="5" borderId="1" xfId="3" applyFont="1" applyFill="1" applyBorder="1" applyAlignment="1">
      <alignment horizontal="left" vertical="center"/>
    </xf>
    <xf numFmtId="0" fontId="18" fillId="5" borderId="1" xfId="0" applyFont="1" applyFill="1" applyBorder="1"/>
    <xf numFmtId="15" fontId="6" fillId="5" borderId="1" xfId="0" applyNumberFormat="1" applyFont="1" applyFill="1" applyBorder="1" applyAlignment="1">
      <alignment horizontal="right"/>
    </xf>
    <xf numFmtId="0" fontId="8" fillId="5" borderId="1" xfId="3" applyFont="1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right"/>
    </xf>
    <xf numFmtId="1" fontId="6" fillId="5" borderId="1" xfId="0" applyNumberFormat="1" applyFont="1" applyFill="1" applyBorder="1" applyAlignment="1">
      <alignment horizontal="right"/>
    </xf>
    <xf numFmtId="14" fontId="6" fillId="5" borderId="1" xfId="0" applyNumberFormat="1" applyFont="1" applyFill="1" applyBorder="1"/>
    <xf numFmtId="0" fontId="27" fillId="5" borderId="1" xfId="0" applyFont="1" applyFill="1" applyBorder="1"/>
    <xf numFmtId="0" fontId="31" fillId="5" borderId="1" xfId="0" applyFont="1" applyFill="1" applyBorder="1" applyAlignment="1">
      <alignment horizontal="right"/>
    </xf>
    <xf numFmtId="0" fontId="6" fillId="5" borderId="8" xfId="0" applyFont="1" applyFill="1" applyBorder="1"/>
    <xf numFmtId="0" fontId="6" fillId="10" borderId="8" xfId="0" applyFont="1" applyFill="1" applyBorder="1"/>
    <xf numFmtId="0" fontId="6" fillId="5" borderId="4" xfId="0" applyFont="1" applyFill="1" applyBorder="1"/>
    <xf numFmtId="1" fontId="6" fillId="10" borderId="1" xfId="0" applyNumberFormat="1" applyFont="1" applyFill="1" applyBorder="1" applyAlignment="1">
      <alignment horizontal="right"/>
    </xf>
    <xf numFmtId="1" fontId="6" fillId="10" borderId="1" xfId="0" applyNumberFormat="1" applyFont="1" applyFill="1" applyBorder="1" applyAlignment="1">
      <alignment horizontal="right" wrapText="1"/>
    </xf>
    <xf numFmtId="0" fontId="6" fillId="10" borderId="1" xfId="0" quotePrefix="1" applyFont="1" applyFill="1" applyBorder="1" applyAlignment="1">
      <alignment horizontal="right"/>
    </xf>
    <xf numFmtId="0" fontId="32" fillId="10" borderId="1" xfId="0" applyFont="1" applyFill="1" applyBorder="1"/>
    <xf numFmtId="0" fontId="32" fillId="10" borderId="1" xfId="0" applyFont="1" applyFill="1" applyBorder="1" applyAlignment="1">
      <alignment horizontal="left"/>
    </xf>
    <xf numFmtId="0" fontId="18" fillId="10" borderId="1" xfId="0" applyFont="1" applyFill="1" applyBorder="1"/>
    <xf numFmtId="0" fontId="6" fillId="5" borderId="1" xfId="0" quotePrefix="1" applyFont="1" applyFill="1" applyBorder="1" applyAlignment="1">
      <alignment horizontal="right"/>
    </xf>
    <xf numFmtId="0" fontId="5" fillId="0" borderId="0" xfId="0" applyFont="1"/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5" fontId="5" fillId="0" borderId="1" xfId="4" applyNumberFormat="1" applyFont="1" applyFill="1" applyBorder="1" applyAlignment="1">
      <alignment vertical="center"/>
    </xf>
    <xf numFmtId="15" fontId="8" fillId="0" borderId="1" xfId="2" applyNumberFormat="1" applyFont="1" applyFill="1" applyBorder="1" applyAlignment="1">
      <alignment vertical="center"/>
    </xf>
    <xf numFmtId="15" fontId="8" fillId="0" borderId="1" xfId="0" applyNumberFormat="1" applyFont="1" applyBorder="1" applyAlignment="1">
      <alignment vertical="center"/>
    </xf>
    <xf numFmtId="15" fontId="6" fillId="0" borderId="1" xfId="0" applyNumberFormat="1" applyFont="1" applyBorder="1" applyAlignment="1">
      <alignment vertical="center"/>
    </xf>
    <xf numFmtId="15" fontId="6" fillId="0" borderId="0" xfId="0" applyNumberFormat="1" applyFont="1"/>
    <xf numFmtId="0" fontId="30" fillId="0" borderId="1" xfId="0" applyFont="1" applyBorder="1"/>
    <xf numFmtId="0" fontId="33" fillId="0" borderId="1" xfId="0" applyFont="1" applyBorder="1"/>
    <xf numFmtId="0" fontId="27" fillId="0" borderId="1" xfId="0" applyFont="1" applyBorder="1"/>
    <xf numFmtId="0" fontId="6" fillId="15" borderId="3" xfId="0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166" fontId="34" fillId="0" borderId="1" xfId="0" applyNumberFormat="1" applyFont="1" applyBorder="1" applyAlignment="1">
      <alignment horizontal="center" vertical="center"/>
    </xf>
    <xf numFmtId="0" fontId="6" fillId="10" borderId="3" xfId="0" applyFont="1" applyFill="1" applyBorder="1" applyAlignment="1">
      <alignment vertical="center"/>
    </xf>
    <xf numFmtId="0" fontId="17" fillId="10" borderId="10" xfId="0" applyFont="1" applyFill="1" applyBorder="1" applyAlignment="1">
      <alignment horizontal="center" vertical="center"/>
    </xf>
    <xf numFmtId="15" fontId="17" fillId="10" borderId="1" xfId="0" applyNumberFormat="1" applyFont="1" applyFill="1" applyBorder="1" applyAlignment="1">
      <alignment horizontal="center" vertical="center"/>
    </xf>
    <xf numFmtId="165" fontId="6" fillId="10" borderId="1" xfId="4" applyNumberFormat="1" applyFont="1" applyFill="1" applyBorder="1"/>
    <xf numFmtId="9" fontId="6" fillId="10" borderId="1" xfId="5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vertical="center"/>
    </xf>
    <xf numFmtId="15" fontId="6" fillId="19" borderId="1" xfId="0" applyNumberFormat="1" applyFont="1" applyFill="1" applyBorder="1" applyAlignment="1">
      <alignment horizontal="center" vertical="center"/>
    </xf>
    <xf numFmtId="0" fontId="17" fillId="19" borderId="10" xfId="0" applyFont="1" applyFill="1" applyBorder="1" applyAlignment="1">
      <alignment horizontal="center" vertical="center"/>
    </xf>
    <xf numFmtId="15" fontId="17" fillId="19" borderId="1" xfId="0" applyNumberFormat="1" applyFont="1" applyFill="1" applyBorder="1" applyAlignment="1">
      <alignment horizontal="center" vertical="center"/>
    </xf>
    <xf numFmtId="165" fontId="18" fillId="19" borderId="1" xfId="4" applyNumberFormat="1" applyFont="1" applyFill="1" applyBorder="1"/>
    <xf numFmtId="165" fontId="6" fillId="19" borderId="1" xfId="4" applyNumberFormat="1" applyFont="1" applyFill="1" applyBorder="1"/>
    <xf numFmtId="9" fontId="6" fillId="19" borderId="1" xfId="5" applyFont="1" applyFill="1" applyBorder="1"/>
    <xf numFmtId="0" fontId="6" fillId="14" borderId="1" xfId="0" applyFont="1" applyFill="1" applyBorder="1" applyAlignment="1">
      <alignment horizontal="right"/>
    </xf>
    <xf numFmtId="0" fontId="6" fillId="14" borderId="1" xfId="0" applyFont="1" applyFill="1" applyBorder="1" applyAlignment="1">
      <alignment horizontal="center" vertical="center"/>
    </xf>
    <xf numFmtId="15" fontId="6" fillId="14" borderId="1" xfId="0" applyNumberFormat="1" applyFont="1" applyFill="1" applyBorder="1" applyAlignment="1">
      <alignment horizontal="center" vertical="center"/>
    </xf>
    <xf numFmtId="0" fontId="17" fillId="14" borderId="10" xfId="0" applyFont="1" applyFill="1" applyBorder="1" applyAlignment="1">
      <alignment horizontal="center" vertical="center"/>
    </xf>
    <xf numFmtId="15" fontId="17" fillId="14" borderId="1" xfId="0" applyNumberFormat="1" applyFont="1" applyFill="1" applyBorder="1" applyAlignment="1">
      <alignment horizontal="center" vertical="center"/>
    </xf>
    <xf numFmtId="165" fontId="18" fillId="14" borderId="1" xfId="4" applyNumberFormat="1" applyFont="1" applyFill="1" applyBorder="1"/>
    <xf numFmtId="165" fontId="6" fillId="14" borderId="1" xfId="4" applyNumberFormat="1" applyFont="1" applyFill="1" applyBorder="1"/>
    <xf numFmtId="9" fontId="6" fillId="14" borderId="1" xfId="5" applyFont="1" applyFill="1" applyBorder="1"/>
    <xf numFmtId="0" fontId="6" fillId="14" borderId="0" xfId="0" applyFont="1" applyFill="1"/>
    <xf numFmtId="15" fontId="32" fillId="14" borderId="1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/>
    </xf>
    <xf numFmtId="15" fontId="6" fillId="0" borderId="15" xfId="0" applyNumberFormat="1" applyFont="1" applyFill="1" applyBorder="1" applyAlignment="1">
      <alignment horizontal="center" vertical="center"/>
    </xf>
    <xf numFmtId="15" fontId="17" fillId="0" borderId="11" xfId="0" applyNumberFormat="1" applyFont="1" applyFill="1" applyBorder="1" applyAlignment="1">
      <alignment horizontal="center" vertical="center"/>
    </xf>
    <xf numFmtId="15" fontId="6" fillId="0" borderId="12" xfId="0" applyNumberFormat="1" applyFont="1" applyFill="1" applyBorder="1" applyAlignment="1">
      <alignment horizontal="center" vertical="center"/>
    </xf>
    <xf numFmtId="15" fontId="17" fillId="0" borderId="1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5" fontId="6" fillId="0" borderId="3" xfId="0" quotePrefix="1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5" fontId="6" fillId="0" borderId="1" xfId="0" quotePrefix="1" applyNumberFormat="1" applyFont="1" applyFill="1" applyBorder="1" applyAlignment="1">
      <alignment horizontal="center" vertical="center"/>
    </xf>
    <xf numFmtId="0" fontId="6" fillId="0" borderId="0" xfId="0" applyFont="1" applyBorder="1"/>
    <xf numFmtId="0" fontId="8" fillId="10" borderId="1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1" fontId="6" fillId="10" borderId="1" xfId="0" applyNumberFormat="1" applyFont="1" applyFill="1" applyBorder="1" applyAlignment="1">
      <alignment horizontal="left" vertical="center"/>
    </xf>
    <xf numFmtId="1" fontId="22" fillId="0" borderId="0" xfId="0" applyNumberFormat="1" applyFont="1" applyBorder="1" applyAlignment="1">
      <alignment horizontal="right"/>
    </xf>
    <xf numFmtId="0" fontId="6" fillId="10" borderId="0" xfId="0" applyFont="1" applyFill="1" applyBorder="1" applyAlignment="1">
      <alignment horizontal="right"/>
    </xf>
    <xf numFmtId="0" fontId="6" fillId="5" borderId="0" xfId="0" applyFont="1" applyFill="1" applyBorder="1"/>
    <xf numFmtId="0" fontId="6" fillId="0" borderId="4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5" fontId="6" fillId="0" borderId="0" xfId="0" applyNumberFormat="1" applyFont="1" applyBorder="1"/>
    <xf numFmtId="0" fontId="18" fillId="0" borderId="0" xfId="0" applyFont="1" applyBorder="1" applyAlignment="1">
      <alignment horizontal="left" vertical="center"/>
    </xf>
    <xf numFmtId="1" fontId="22" fillId="0" borderId="4" xfId="0" applyNumberFormat="1" applyFont="1" applyBorder="1" applyAlignment="1">
      <alignment horizontal="right"/>
    </xf>
    <xf numFmtId="0" fontId="6" fillId="5" borderId="0" xfId="0" applyFont="1" applyFill="1" applyBorder="1" applyAlignment="1">
      <alignment horizontal="right"/>
    </xf>
    <xf numFmtId="1" fontId="22" fillId="0" borderId="3" xfId="0" applyNumberFormat="1" applyFont="1" applyBorder="1" applyAlignment="1">
      <alignment horizontal="right"/>
    </xf>
    <xf numFmtId="0" fontId="18" fillId="5" borderId="4" xfId="0" applyFont="1" applyFill="1" applyBorder="1" applyAlignment="1">
      <alignment horizontal="left" vertical="center"/>
    </xf>
    <xf numFmtId="0" fontId="20" fillId="0" borderId="0" xfId="0" applyFont="1" applyBorder="1"/>
    <xf numFmtId="0" fontId="0" fillId="0" borderId="0" xfId="0" applyBorder="1"/>
    <xf numFmtId="0" fontId="33" fillId="0" borderId="0" xfId="0" applyFont="1" applyBorder="1"/>
    <xf numFmtId="0" fontId="29" fillId="0" borderId="0" xfId="0" applyFont="1" applyBorder="1" applyAlignment="1">
      <alignment horizontal="left"/>
    </xf>
    <xf numFmtId="0" fontId="27" fillId="5" borderId="0" xfId="0" applyFont="1" applyFill="1" applyBorder="1"/>
    <xf numFmtId="0" fontId="6" fillId="10" borderId="4" xfId="0" applyFont="1" applyFill="1" applyBorder="1" applyAlignment="1">
      <alignment horizontal="right"/>
    </xf>
    <xf numFmtId="0" fontId="28" fillId="0" borderId="0" xfId="0" applyFont="1" applyBorder="1"/>
  </cellXfs>
  <cellStyles count="6">
    <cellStyle name="Calculation" xfId="3" builtinId="22"/>
    <cellStyle name="Comma" xfId="4" builtinId="3"/>
    <cellStyle name="Good" xfId="1" builtinId="26"/>
    <cellStyle name="Neutral" xfId="2" builtinId="28"/>
    <cellStyle name="Normal" xfId="0" builtinId="0"/>
    <cellStyle name="Percent" xfId="5" builtinId="5"/>
  </cellStyles>
  <dxfs count="1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EEF S" id="{7D22D8AB-3172-41D5-9BDB-09631B6FC829}" userId="337402b2e2779909" providerId="Windows Live"/>
  <person displayName="Abhie Kore" id="{83BF9887-6CD8-4C72-BEF0-04A51C48A683}" userId="57d5a2e30a0b13f3" providerId="Windows Live"/>
  <person displayName="Sundar Velmuniram" id="{C0ED307E-DDC6-47FC-950A-8B639A12133E}" userId="75166d0220d71095" providerId="Windows Live"/>
  <person displayName="Ebin Chacko" id="{0F8F139A-682D-4BA4-8276-3BAD56F3A336}" userId="e30418310e911b5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3" dT="2024-11-05T06:36:52.73" personId="{C0ED307E-DDC6-47FC-950A-8B639A12133E}" id="{973447FC-AF9C-4082-8E25-B1D09D35364C}">
    <text xml:space="preserve">Including spare parts </text>
  </threadedComment>
  <threadedComment ref="K134" dT="2025-06-27T08:48:20.35" personId="{0F8F139A-682D-4BA4-8276-3BAD56F3A336}" id="{FF02336F-458A-4EE8-A35B-86B15F4EF7AF}">
    <text>Project involves foreign traders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" dT="2024-07-21T11:24:00.29" personId="{83BF9887-6CD8-4C72-BEF0-04A51C48A683}" id="{30994F3B-6198-4AC1-8D55-60AA3046089F}">
    <text>Additional invoice 6017351258</text>
  </threadedComment>
  <threadedComment ref="F7" dT="2024-07-21T11:36:29.24" personId="{83BF9887-6CD8-4C72-BEF0-04A51C48A683}" id="{93A84B31-C7FE-49A5-AB28-4DAEAE1D8416}">
    <text>6017350764
6017352482
Golden harbour SO1806</text>
  </threadedComment>
  <threadedComment ref="F8" dT="2024-07-21T11:37:02.11" personId="{83BF9887-6CD8-4C72-BEF0-04A51C48A683}" id="{2497090B-62C7-4CC3-8983-DCD3D5F91C9F}">
    <text>Panorama
Muharraq Engineering W.L.L
Al Karrar trading
F&amp;L Logistics UAE -BAHRAIN</text>
  </threadedComment>
  <threadedComment ref="F10" dT="2024-09-12T05:28:21.97" personId="{0F8F139A-682D-4BA4-8276-3BAD56F3A336}" id="{4F7BCB0B-BF7F-47A3-9722-F7B004EB6A23}">
    <text>6017347163
6017348298
6017353278
6017351263</text>
  </threadedComment>
  <threadedComment ref="F13" dT="2024-07-22T07:39:12.84" personId="{83BF9887-6CD8-4C72-BEF0-04A51C48A683}" id="{DD4A381C-F6C2-4BA8-9F39-032D53237D4F}">
    <text>6017350765</text>
  </threadedComment>
  <threadedComment ref="F25" dT="2024-07-21T08:20:34.06" personId="{83BF9887-6CD8-4C72-BEF0-04A51C48A683}" id="{0C4EC9F5-8502-492F-B203-5D8175685FA0}">
    <text xml:space="preserve"> and 6017353108</text>
  </threadedComment>
  <threadedComment ref="F38" dT="2024-07-22T08:34:05.98" personId="{83BF9887-6CD8-4C72-BEF0-04A51C48A683}" id="{FE8F2AE2-64D9-43D0-B8AA-D1C49421CEF0}">
    <text>UAL/7280/02/24 United engineering
F&amp;L Logistics Germany -Dubai
F&amp;L Logistics Dubai-Bahrain aramex customs duty x2 invoices
Panorama
Al Karrar trading x3 invoices
Muharraq Engineering W.L.L</text>
  </threadedComment>
  <threadedComment ref="F47" dT="2024-07-21T08:50:56.70" personId="{83BF9887-6CD8-4C72-BEF0-04A51C48A683}" id="{5D384506-B975-4BE0-A34B-19FC40A83C55}">
    <text>Service Job 6017359327</text>
  </threadedComment>
  <threadedComment ref="G58" dT="2024-07-21T09:25:51.54" personId="{83BF9887-6CD8-4C72-BEF0-04A51C48A683}" id="{8703F2CE-CB7B-4376-8497-91C0884B922C}">
    <text>Includes PH24/053 (4174.046)
 advance payment</text>
  </threadedComment>
  <threadedComment ref="F74" dT="2024-12-05T10:50:33.30" personId="{83BF9887-6CD8-4C72-BEF0-04A51C48A683}" id="{B8D7B7FA-5422-41E6-ACD9-998065F27416}">
    <text>6017370710 /6017370711 /6017370712</text>
  </threadedComment>
  <threadedComment ref="E94" dT="2024-09-16T08:11:44.31" personId="{7D22D8AB-3172-41D5-9BDB-09631B6FC829}" id="{193986D9-E263-4D93-9982-E6369BCBEEE3}">
    <text xml:space="preserve">Initial offer
2024/138/ENGIE dated 05 june 2024
Offer for variation order 
 2024/138/ENGIE/Part 2  dated 01 aug 2024
</text>
  </threadedComment>
  <threadedComment ref="G94" dT="2024-09-16T08:12:09.03" personId="{7D22D8AB-3172-41D5-9BDB-09631B6FC829}" id="{E453A55C-23A4-4F72-87DB-1BD305D9980C}">
    <text>1 more invoice to be given for variation order</text>
  </threadedComment>
  <threadedComment ref="H94" dT="2024-09-16T08:15:14.21" personId="{7D22D8AB-3172-41D5-9BDB-09631B6FC829}" id="{A693BA29-5CC7-42D4-B59A-E0A26971CC52}">
    <text>1 More invoice to come for variation order</text>
  </threadedComment>
  <threadedComment ref="F97" dT="2024-09-16T08:02:31.35" personId="{7D22D8AB-3172-41D5-9BDB-09631B6FC829}" id="{07058B08-54E8-4C77-93BE-58DCC2716BB4}">
    <text xml:space="preserve">6017364526
6017362930
6017362931
6017362936
</text>
  </threadedComment>
  <threadedComment ref="G97" dT="2024-09-16T08:02:09.46" personId="{7D22D8AB-3172-41D5-9BDB-09631B6FC829}" id="{A4BDADAB-D906-44E5-97B1-7AD976739D98}">
    <text>PH24/109
PH24/104</text>
  </threadedComment>
  <threadedComment ref="F121" dT="2024-12-02T09:42:59.30" personId="{83BF9887-6CD8-4C72-BEF0-04A51C48A683}" id="{82C03C56-933F-4CD2-8894-A8A186A1811C}">
    <text>6017370709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5" dT="2025-03-13T06:40:42.58" personId="{C0ED307E-DDC6-47FC-950A-8B639A12133E}" id="{8D4FDFA8-3FF9-4ED5-9090-FC9F69C0CB5A}">
    <text>Purchased (12 qty) and saled 11 qty -  1 qty is spare at office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8E04-4924-4A95-BA25-D40810D1907D}">
  <sheetPr>
    <tabColor rgb="FF00B0F0"/>
  </sheetPr>
  <dimension ref="A1:R436"/>
  <sheetViews>
    <sheetView tabSelected="1" zoomScaleNormal="100" workbookViewId="0">
      <pane ySplit="1" topLeftCell="A403" activePane="bottomLeft" state="frozen"/>
      <selection activeCell="E1" sqref="E1"/>
      <selection pane="bottomLeft" activeCell="K118" sqref="K118"/>
    </sheetView>
  </sheetViews>
  <sheetFormatPr defaultColWidth="9.28515625" defaultRowHeight="15" x14ac:dyDescent="0.25"/>
  <cols>
    <col min="1" max="1" width="5.42578125" style="82" bestFit="1" customWidth="1"/>
    <col min="2" max="3" width="9.28515625" style="82" customWidth="1"/>
    <col min="4" max="4" width="29.7109375" style="82" customWidth="1"/>
    <col min="5" max="5" width="44.28515625" style="82" hidden="1" customWidth="1"/>
    <col min="6" max="6" width="28.42578125" style="82" hidden="1" customWidth="1"/>
    <col min="7" max="7" width="43" style="82" customWidth="1"/>
    <col min="8" max="8" width="17.7109375" style="235" customWidth="1"/>
    <col min="9" max="9" width="15.28515625" style="333" customWidth="1"/>
    <col min="10" max="10" width="23.7109375" style="82" customWidth="1"/>
    <col min="11" max="11" width="19.7109375" style="82" customWidth="1"/>
    <col min="12" max="12" width="14.42578125" style="388" customWidth="1"/>
    <col min="13" max="13" width="14.42578125" style="82" hidden="1" customWidth="1"/>
    <col min="14" max="14" width="15.28515625" style="82" hidden="1" customWidth="1"/>
    <col min="15" max="15" width="15.7109375" style="82" customWidth="1"/>
    <col min="16" max="16" width="12.42578125" style="82" customWidth="1"/>
    <col min="17" max="17" width="20.7109375" style="82" customWidth="1"/>
    <col min="18" max="16384" width="9.28515625" style="82"/>
  </cols>
  <sheetData>
    <row r="1" spans="1:17" s="236" customFormat="1" x14ac:dyDescent="0.25">
      <c r="A1" s="225" t="s">
        <v>0</v>
      </c>
      <c r="B1" s="225" t="s">
        <v>1</v>
      </c>
      <c r="C1" s="225" t="s">
        <v>2</v>
      </c>
      <c r="D1" s="225" t="s">
        <v>3</v>
      </c>
      <c r="E1" s="225" t="s">
        <v>4</v>
      </c>
      <c r="F1" s="225" t="s">
        <v>5</v>
      </c>
      <c r="G1" s="225" t="s">
        <v>6</v>
      </c>
      <c r="H1" s="226" t="s">
        <v>7</v>
      </c>
      <c r="I1" s="314" t="s">
        <v>8</v>
      </c>
      <c r="J1" s="227" t="s">
        <v>9</v>
      </c>
      <c r="K1" s="227" t="s">
        <v>10</v>
      </c>
      <c r="L1" s="384" t="s">
        <v>11</v>
      </c>
      <c r="M1" s="228" t="s">
        <v>12</v>
      </c>
      <c r="N1" s="228" t="s">
        <v>13</v>
      </c>
      <c r="O1" s="227" t="s">
        <v>14</v>
      </c>
      <c r="P1" s="379" t="s">
        <v>15</v>
      </c>
      <c r="Q1" s="6" t="s">
        <v>16</v>
      </c>
    </row>
    <row r="2" spans="1:17" x14ac:dyDescent="0.25">
      <c r="A2" s="6">
        <v>2024</v>
      </c>
      <c r="B2" s="6">
        <v>5</v>
      </c>
      <c r="C2" s="6" t="str">
        <f>B2&amp;"-24"</f>
        <v>5-24</v>
      </c>
      <c r="D2" s="6" t="s">
        <v>17</v>
      </c>
      <c r="E2" s="6" t="s">
        <v>18</v>
      </c>
      <c r="F2" s="6" t="s">
        <v>19</v>
      </c>
      <c r="G2" s="6" t="s">
        <v>20</v>
      </c>
      <c r="H2" s="6"/>
      <c r="I2" s="315"/>
      <c r="J2" s="4" t="s">
        <v>1622</v>
      </c>
      <c r="K2" s="22" t="s">
        <v>22</v>
      </c>
      <c r="L2" s="36"/>
      <c r="M2" s="36"/>
      <c r="N2" s="36"/>
      <c r="O2" s="22" t="s">
        <v>23</v>
      </c>
      <c r="P2" s="6" t="s">
        <v>24</v>
      </c>
      <c r="Q2" s="251"/>
    </row>
    <row r="3" spans="1:17" x14ac:dyDescent="0.25">
      <c r="A3" s="6">
        <v>2024</v>
      </c>
      <c r="B3" s="6">
        <v>9</v>
      </c>
      <c r="C3" s="6" t="str">
        <f>B3&amp;"-24"</f>
        <v>9-24</v>
      </c>
      <c r="D3" s="6" t="s">
        <v>25</v>
      </c>
      <c r="E3" s="7" t="s">
        <v>26</v>
      </c>
      <c r="F3" s="6" t="s">
        <v>27</v>
      </c>
      <c r="G3" s="6" t="s">
        <v>28</v>
      </c>
      <c r="H3" s="6"/>
      <c r="I3" s="315">
        <v>5645.71</v>
      </c>
      <c r="J3" s="4" t="s">
        <v>1618</v>
      </c>
      <c r="K3" s="22"/>
      <c r="L3" s="36">
        <v>45775</v>
      </c>
      <c r="M3" s="36">
        <v>45777</v>
      </c>
      <c r="N3" s="36" t="s">
        <v>29</v>
      </c>
      <c r="O3" s="22" t="s">
        <v>30</v>
      </c>
      <c r="P3" s="6" t="s">
        <v>24</v>
      </c>
      <c r="Q3" s="251"/>
    </row>
    <row r="4" spans="1:17" x14ac:dyDescent="0.25">
      <c r="A4" s="6">
        <v>2024</v>
      </c>
      <c r="B4" s="6">
        <v>10</v>
      </c>
      <c r="C4" s="6" t="str">
        <f>B4&amp;"-24"</f>
        <v>10-24</v>
      </c>
      <c r="D4" s="6" t="s">
        <v>31</v>
      </c>
      <c r="E4" s="7" t="s">
        <v>32</v>
      </c>
      <c r="F4" s="6" t="s">
        <v>33</v>
      </c>
      <c r="G4" s="6" t="s">
        <v>1514</v>
      </c>
      <c r="H4" s="6">
        <v>202215797510</v>
      </c>
      <c r="I4" s="315">
        <v>45408</v>
      </c>
      <c r="J4" s="4" t="s">
        <v>1615</v>
      </c>
      <c r="K4" s="22"/>
      <c r="L4" s="36">
        <v>45691</v>
      </c>
      <c r="M4" s="36"/>
      <c r="N4" s="36" t="s">
        <v>35</v>
      </c>
      <c r="O4" s="22" t="s">
        <v>36</v>
      </c>
      <c r="P4" s="6" t="s">
        <v>24</v>
      </c>
      <c r="Q4" s="251"/>
    </row>
    <row r="5" spans="1:17" ht="15" customHeight="1" x14ac:dyDescent="0.25">
      <c r="A5" s="6">
        <v>2024</v>
      </c>
      <c r="B5" s="6">
        <v>24</v>
      </c>
      <c r="C5" s="6" t="str">
        <f>B5&amp;"-24"</f>
        <v>24-24</v>
      </c>
      <c r="D5" s="6" t="s">
        <v>37</v>
      </c>
      <c r="E5" s="6" t="s">
        <v>38</v>
      </c>
      <c r="F5" s="6" t="s">
        <v>39</v>
      </c>
      <c r="G5" s="6" t="s">
        <v>20</v>
      </c>
      <c r="H5" s="6"/>
      <c r="I5" s="315">
        <v>6940</v>
      </c>
      <c r="J5" s="4" t="s">
        <v>1622</v>
      </c>
      <c r="K5" s="22" t="s">
        <v>40</v>
      </c>
      <c r="L5" s="36">
        <v>45314</v>
      </c>
      <c r="M5" s="36"/>
      <c r="N5" s="36" t="s">
        <v>29</v>
      </c>
      <c r="O5" s="22" t="s">
        <v>23</v>
      </c>
      <c r="P5" s="6" t="s">
        <v>24</v>
      </c>
      <c r="Q5" s="251"/>
    </row>
    <row r="6" spans="1:17" x14ac:dyDescent="0.25">
      <c r="A6" s="6">
        <v>2024</v>
      </c>
      <c r="B6" s="6">
        <v>25</v>
      </c>
      <c r="C6" s="6" t="str">
        <f>B6&amp;"-24"</f>
        <v>25-24</v>
      </c>
      <c r="D6" s="6" t="s">
        <v>41</v>
      </c>
      <c r="E6" s="6" t="s">
        <v>42</v>
      </c>
      <c r="F6" s="6" t="s">
        <v>43</v>
      </c>
      <c r="G6" s="6" t="s">
        <v>20</v>
      </c>
      <c r="H6" s="6"/>
      <c r="I6" s="315">
        <v>2224</v>
      </c>
      <c r="J6" s="4" t="s">
        <v>1622</v>
      </c>
      <c r="K6" s="22" t="s">
        <v>44</v>
      </c>
      <c r="L6" s="36">
        <v>45314</v>
      </c>
      <c r="M6" s="36"/>
      <c r="N6" s="36" t="s">
        <v>29</v>
      </c>
      <c r="O6" s="22" t="s">
        <v>30</v>
      </c>
      <c r="P6" s="6" t="s">
        <v>24</v>
      </c>
      <c r="Q6" s="251"/>
    </row>
    <row r="7" spans="1:17" x14ac:dyDescent="0.25">
      <c r="A7" s="6">
        <v>2024</v>
      </c>
      <c r="B7" s="6">
        <v>27</v>
      </c>
      <c r="C7" s="6" t="str">
        <f>B7&amp;"-24"</f>
        <v>27-24</v>
      </c>
      <c r="D7" s="6" t="s">
        <v>45</v>
      </c>
      <c r="E7" s="6" t="s">
        <v>46</v>
      </c>
      <c r="F7" s="6" t="s">
        <v>47</v>
      </c>
      <c r="G7" s="6" t="s">
        <v>48</v>
      </c>
      <c r="H7" s="6"/>
      <c r="I7" s="315">
        <v>4840</v>
      </c>
      <c r="J7" s="4" t="s">
        <v>1618</v>
      </c>
      <c r="K7" s="22"/>
      <c r="L7" s="36">
        <v>45346</v>
      </c>
      <c r="M7" s="36"/>
      <c r="N7" s="36" t="s">
        <v>29</v>
      </c>
      <c r="O7" s="22" t="s">
        <v>49</v>
      </c>
      <c r="P7" s="6" t="s">
        <v>24</v>
      </c>
      <c r="Q7" s="251"/>
    </row>
    <row r="8" spans="1:17" x14ac:dyDescent="0.25">
      <c r="A8" s="6">
        <v>2024</v>
      </c>
      <c r="B8" s="6">
        <v>53</v>
      </c>
      <c r="C8" s="6" t="str">
        <f>B8&amp;"-24"</f>
        <v>53-24</v>
      </c>
      <c r="D8" s="6" t="s">
        <v>50</v>
      </c>
      <c r="E8" s="4" t="s">
        <v>51</v>
      </c>
      <c r="F8" s="4" t="s">
        <v>52</v>
      </c>
      <c r="G8" s="6" t="s">
        <v>20</v>
      </c>
      <c r="H8" s="241">
        <v>202417235169</v>
      </c>
      <c r="I8" s="318">
        <v>111949.9</v>
      </c>
      <c r="J8" s="4" t="s">
        <v>1622</v>
      </c>
      <c r="K8" s="4" t="s">
        <v>53</v>
      </c>
      <c r="L8" s="35">
        <v>45336</v>
      </c>
      <c r="M8" s="35"/>
      <c r="N8" s="35"/>
      <c r="O8" s="4"/>
      <c r="P8" s="6" t="s">
        <v>54</v>
      </c>
      <c r="Q8" s="251"/>
    </row>
    <row r="9" spans="1:17" x14ac:dyDescent="0.25">
      <c r="A9" s="6">
        <v>2024</v>
      </c>
      <c r="B9" s="6">
        <v>86</v>
      </c>
      <c r="C9" s="6" t="str">
        <f>B9&amp;"-24"</f>
        <v>86-24</v>
      </c>
      <c r="D9" s="6" t="s">
        <v>55</v>
      </c>
      <c r="E9" s="4" t="s">
        <v>56</v>
      </c>
      <c r="F9" s="4" t="s">
        <v>57</v>
      </c>
      <c r="G9" s="6" t="s">
        <v>20</v>
      </c>
      <c r="H9" s="241">
        <v>202417367369</v>
      </c>
      <c r="I9" s="320">
        <v>1825</v>
      </c>
      <c r="J9" s="4" t="s">
        <v>1622</v>
      </c>
      <c r="K9" s="22" t="s">
        <v>40</v>
      </c>
      <c r="L9" s="36">
        <v>45364</v>
      </c>
      <c r="M9" s="36"/>
      <c r="N9" s="36" t="s">
        <v>29</v>
      </c>
      <c r="O9" s="22" t="s">
        <v>58</v>
      </c>
      <c r="P9" s="6" t="s">
        <v>24</v>
      </c>
      <c r="Q9" s="251"/>
    </row>
    <row r="10" spans="1:17" ht="15" customHeight="1" x14ac:dyDescent="0.25">
      <c r="A10" s="6">
        <v>2024</v>
      </c>
      <c r="B10" s="6">
        <v>107</v>
      </c>
      <c r="C10" s="6" t="str">
        <f>B10&amp;"-24"</f>
        <v>107-24</v>
      </c>
      <c r="D10" s="6" t="s">
        <v>59</v>
      </c>
      <c r="E10" s="6"/>
      <c r="F10" s="6"/>
      <c r="G10" s="6" t="s">
        <v>20</v>
      </c>
      <c r="H10" s="258">
        <v>202417864391</v>
      </c>
      <c r="I10" s="316"/>
      <c r="J10" s="4" t="s">
        <v>1615</v>
      </c>
      <c r="K10" s="4"/>
      <c r="L10" s="84">
        <v>45805</v>
      </c>
      <c r="M10" s="35"/>
      <c r="N10" s="35"/>
      <c r="O10" s="4"/>
      <c r="P10" s="6" t="s">
        <v>54</v>
      </c>
      <c r="Q10" s="251"/>
    </row>
    <row r="11" spans="1:17" ht="15" customHeight="1" x14ac:dyDescent="0.25">
      <c r="A11" s="6">
        <v>2024</v>
      </c>
      <c r="B11" s="6">
        <v>125</v>
      </c>
      <c r="C11" s="6" t="str">
        <f>B11&amp;"-24"</f>
        <v>125-24</v>
      </c>
      <c r="D11" s="6" t="s">
        <v>60</v>
      </c>
      <c r="E11" s="230" t="s">
        <v>61</v>
      </c>
      <c r="F11" s="230" t="s">
        <v>62</v>
      </c>
      <c r="G11" s="6" t="s">
        <v>20</v>
      </c>
      <c r="H11" s="241">
        <v>202417900372</v>
      </c>
      <c r="I11" s="317">
        <v>928.65</v>
      </c>
      <c r="J11" s="4" t="s">
        <v>1622</v>
      </c>
      <c r="K11" s="3" t="s">
        <v>119</v>
      </c>
      <c r="L11" s="35">
        <v>45434</v>
      </c>
      <c r="M11" s="34"/>
      <c r="N11" s="34"/>
      <c r="O11" s="3"/>
      <c r="P11" s="6" t="s">
        <v>54</v>
      </c>
      <c r="Q11" s="251"/>
    </row>
    <row r="12" spans="1:17" ht="15" customHeight="1" x14ac:dyDescent="0.25">
      <c r="A12" s="6">
        <v>2024</v>
      </c>
      <c r="B12" s="6">
        <v>126</v>
      </c>
      <c r="C12" s="6" t="str">
        <f>B12&amp;"-24"</f>
        <v>126-24</v>
      </c>
      <c r="D12" s="6" t="s">
        <v>63</v>
      </c>
      <c r="E12" s="6" t="s">
        <v>64</v>
      </c>
      <c r="F12" s="230" t="s">
        <v>57</v>
      </c>
      <c r="G12" s="230" t="s">
        <v>34</v>
      </c>
      <c r="H12" s="241">
        <v>202417900376</v>
      </c>
      <c r="I12" s="317">
        <v>27606</v>
      </c>
      <c r="J12" s="4" t="s">
        <v>1622</v>
      </c>
      <c r="K12" s="4" t="s">
        <v>44</v>
      </c>
      <c r="L12" s="35">
        <v>45425</v>
      </c>
      <c r="M12" s="35"/>
      <c r="N12" s="35"/>
      <c r="O12" s="4"/>
      <c r="P12" s="6" t="s">
        <v>24</v>
      </c>
      <c r="Q12" s="251"/>
    </row>
    <row r="13" spans="1:17" x14ac:dyDescent="0.25">
      <c r="A13" s="6">
        <v>2024</v>
      </c>
      <c r="B13" s="6">
        <v>152</v>
      </c>
      <c r="C13" s="6" t="str">
        <f>B13&amp;"-24"</f>
        <v>152-24</v>
      </c>
      <c r="D13" s="6" t="s">
        <v>65</v>
      </c>
      <c r="E13" s="4" t="s">
        <v>66</v>
      </c>
      <c r="F13" s="6" t="s">
        <v>67</v>
      </c>
      <c r="G13" s="1" t="s">
        <v>68</v>
      </c>
      <c r="H13" s="240">
        <v>202417620721</v>
      </c>
      <c r="I13" s="323"/>
      <c r="J13" s="4" t="s">
        <v>1622</v>
      </c>
      <c r="K13" s="10" t="s">
        <v>69</v>
      </c>
      <c r="L13" s="37"/>
      <c r="M13" s="37"/>
      <c r="N13" s="37"/>
      <c r="O13" s="10" t="s">
        <v>49</v>
      </c>
      <c r="P13" s="6" t="s">
        <v>24</v>
      </c>
      <c r="Q13" s="251"/>
    </row>
    <row r="14" spans="1:17" ht="16.5" customHeight="1" x14ac:dyDescent="0.25">
      <c r="A14" s="6">
        <v>2024</v>
      </c>
      <c r="B14" s="6">
        <v>158</v>
      </c>
      <c r="C14" s="6" t="str">
        <f>B14&amp;"-24"</f>
        <v>158-24</v>
      </c>
      <c r="D14" s="6" t="s">
        <v>70</v>
      </c>
      <c r="E14" s="4" t="s">
        <v>71</v>
      </c>
      <c r="F14" s="6" t="s">
        <v>47</v>
      </c>
      <c r="G14" s="6" t="s">
        <v>20</v>
      </c>
      <c r="H14" s="241">
        <v>202417585877</v>
      </c>
      <c r="I14" s="318">
        <v>7446.2</v>
      </c>
      <c r="J14" s="4" t="s">
        <v>1622</v>
      </c>
      <c r="K14" s="4" t="s">
        <v>119</v>
      </c>
      <c r="L14" s="35">
        <v>45456</v>
      </c>
      <c r="M14" s="35"/>
      <c r="N14" s="35"/>
      <c r="O14" s="4"/>
      <c r="P14" s="6" t="s">
        <v>54</v>
      </c>
      <c r="Q14" s="251"/>
    </row>
    <row r="15" spans="1:17" ht="15" customHeight="1" x14ac:dyDescent="0.25">
      <c r="A15" s="6">
        <v>2024</v>
      </c>
      <c r="B15" s="6">
        <v>171</v>
      </c>
      <c r="C15" s="6" t="str">
        <f>B15&amp;"-24"</f>
        <v>171-24</v>
      </c>
      <c r="D15" s="6" t="s">
        <v>72</v>
      </c>
      <c r="E15" s="6" t="s">
        <v>73</v>
      </c>
      <c r="F15" s="6" t="s">
        <v>74</v>
      </c>
      <c r="G15" s="6" t="s">
        <v>20</v>
      </c>
      <c r="H15" s="241">
        <v>202417664857</v>
      </c>
      <c r="I15" s="318">
        <v>14581.43</v>
      </c>
      <c r="J15" s="4" t="s">
        <v>1622</v>
      </c>
      <c r="K15" s="10" t="s">
        <v>119</v>
      </c>
      <c r="L15" s="37">
        <v>45480</v>
      </c>
      <c r="M15" s="37"/>
      <c r="N15" s="37"/>
      <c r="O15" s="10"/>
      <c r="P15" s="6" t="s">
        <v>54</v>
      </c>
      <c r="Q15" s="251"/>
    </row>
    <row r="16" spans="1:17" x14ac:dyDescent="0.25">
      <c r="A16" s="6">
        <v>2024</v>
      </c>
      <c r="B16" s="6">
        <v>176</v>
      </c>
      <c r="C16" s="6" t="str">
        <f>B16&amp;"-24"</f>
        <v>176-24</v>
      </c>
      <c r="D16" s="6" t="s">
        <v>75</v>
      </c>
      <c r="E16" s="4" t="s">
        <v>76</v>
      </c>
      <c r="F16" s="4" t="s">
        <v>77</v>
      </c>
      <c r="G16" s="4" t="s">
        <v>78</v>
      </c>
      <c r="H16" s="241">
        <v>202417685044</v>
      </c>
      <c r="I16" s="318">
        <v>39147.86</v>
      </c>
      <c r="J16" s="4" t="s">
        <v>1618</v>
      </c>
      <c r="K16" s="10"/>
      <c r="L16" s="37">
        <v>45539</v>
      </c>
      <c r="M16" s="37"/>
      <c r="N16" s="37"/>
      <c r="O16" s="10"/>
      <c r="P16" s="6" t="s">
        <v>54</v>
      </c>
      <c r="Q16" s="251"/>
    </row>
    <row r="17" spans="1:17" x14ac:dyDescent="0.25">
      <c r="A17" s="6">
        <v>2024</v>
      </c>
      <c r="B17" s="6">
        <v>177</v>
      </c>
      <c r="C17" s="6" t="str">
        <f>B17&amp;"-24"</f>
        <v>177-24</v>
      </c>
      <c r="D17" s="6" t="s">
        <v>79</v>
      </c>
      <c r="E17" s="6" t="s">
        <v>80</v>
      </c>
      <c r="F17" s="6" t="s">
        <v>67</v>
      </c>
      <c r="G17" s="6" t="s">
        <v>81</v>
      </c>
      <c r="H17" s="313" t="s">
        <v>1348</v>
      </c>
      <c r="I17" s="320">
        <v>41820</v>
      </c>
      <c r="J17" s="4" t="s">
        <v>1611</v>
      </c>
      <c r="K17" s="10"/>
      <c r="L17" s="37">
        <v>45582</v>
      </c>
      <c r="M17" s="36"/>
      <c r="N17" s="36" t="s">
        <v>82</v>
      </c>
      <c r="O17" s="22" t="s">
        <v>49</v>
      </c>
      <c r="P17" s="6" t="s">
        <v>24</v>
      </c>
      <c r="Q17" s="251" t="s">
        <v>1596</v>
      </c>
    </row>
    <row r="18" spans="1:17" x14ac:dyDescent="0.25">
      <c r="A18" s="6">
        <v>2024</v>
      </c>
      <c r="B18" s="6">
        <v>180</v>
      </c>
      <c r="C18" s="6" t="str">
        <f>B18&amp;"-24"</f>
        <v>180-24</v>
      </c>
      <c r="D18" s="6" t="s">
        <v>83</v>
      </c>
      <c r="E18" s="4" t="s">
        <v>84</v>
      </c>
      <c r="F18" s="230" t="s">
        <v>85</v>
      </c>
      <c r="G18" s="6" t="s">
        <v>20</v>
      </c>
      <c r="H18" s="241">
        <v>202417705248</v>
      </c>
      <c r="I18" s="318">
        <v>9020.49</v>
      </c>
      <c r="J18" s="4" t="s">
        <v>1622</v>
      </c>
      <c r="K18" s="10" t="s">
        <v>119</v>
      </c>
      <c r="L18" s="37">
        <v>45497</v>
      </c>
      <c r="M18" s="37"/>
      <c r="N18" s="37"/>
      <c r="O18" s="10"/>
      <c r="P18" s="6" t="s">
        <v>54</v>
      </c>
      <c r="Q18" s="251"/>
    </row>
    <row r="19" spans="1:17" x14ac:dyDescent="0.25">
      <c r="A19" s="6">
        <v>2024</v>
      </c>
      <c r="B19" s="6">
        <v>183</v>
      </c>
      <c r="C19" s="6" t="str">
        <f>B19&amp;"-24"</f>
        <v>183-24</v>
      </c>
      <c r="D19" s="6" t="s">
        <v>86</v>
      </c>
      <c r="E19" s="230" t="s">
        <v>87</v>
      </c>
      <c r="F19" s="230" t="s">
        <v>85</v>
      </c>
      <c r="G19" s="230" t="s">
        <v>88</v>
      </c>
      <c r="H19" s="230"/>
      <c r="I19" s="329"/>
      <c r="J19" s="4" t="s">
        <v>1622</v>
      </c>
      <c r="K19" s="10" t="s">
        <v>119</v>
      </c>
      <c r="L19" s="37">
        <v>45497</v>
      </c>
      <c r="M19" s="37"/>
      <c r="N19" s="37"/>
      <c r="O19" s="10"/>
      <c r="P19" s="6" t="s">
        <v>54</v>
      </c>
      <c r="Q19" s="251"/>
    </row>
    <row r="20" spans="1:17" x14ac:dyDescent="0.25">
      <c r="A20" s="6">
        <v>2024</v>
      </c>
      <c r="B20" s="6">
        <v>184</v>
      </c>
      <c r="C20" s="6" t="str">
        <f>B20&amp;"-24"</f>
        <v>184-24</v>
      </c>
      <c r="D20" s="6" t="s">
        <v>89</v>
      </c>
      <c r="E20" s="6" t="s">
        <v>89</v>
      </c>
      <c r="F20" s="6" t="s">
        <v>47</v>
      </c>
      <c r="G20" s="6" t="s">
        <v>90</v>
      </c>
      <c r="H20" s="312" t="s">
        <v>1347</v>
      </c>
      <c r="I20" s="317">
        <f>49719*2</f>
        <v>99438</v>
      </c>
      <c r="J20" s="4" t="s">
        <v>1611</v>
      </c>
      <c r="K20" s="10"/>
      <c r="L20" s="37">
        <v>45673</v>
      </c>
      <c r="M20" s="37"/>
      <c r="N20" s="37" t="s">
        <v>91</v>
      </c>
      <c r="O20" s="10" t="s">
        <v>49</v>
      </c>
      <c r="P20" s="6" t="s">
        <v>24</v>
      </c>
      <c r="Q20" s="251" t="s">
        <v>1597</v>
      </c>
    </row>
    <row r="21" spans="1:17" x14ac:dyDescent="0.25">
      <c r="A21" s="6">
        <v>2024</v>
      </c>
      <c r="B21" s="6">
        <v>185</v>
      </c>
      <c r="C21" s="6" t="str">
        <f>B21&amp;"-24"</f>
        <v>185-24</v>
      </c>
      <c r="D21" s="6" t="s">
        <v>92</v>
      </c>
      <c r="E21" s="6" t="s">
        <v>93</v>
      </c>
      <c r="F21" s="6" t="s">
        <v>47</v>
      </c>
      <c r="G21" s="6" t="s">
        <v>94</v>
      </c>
      <c r="H21" s="6">
        <v>202417730033</v>
      </c>
      <c r="I21" s="317">
        <v>1816.99</v>
      </c>
      <c r="J21" s="4" t="s">
        <v>1618</v>
      </c>
      <c r="K21" s="4"/>
      <c r="L21" s="35">
        <v>45607</v>
      </c>
      <c r="M21" s="35">
        <v>45616</v>
      </c>
      <c r="N21" s="35" t="s">
        <v>95</v>
      </c>
      <c r="O21" s="4" t="s">
        <v>49</v>
      </c>
      <c r="P21" s="6" t="s">
        <v>24</v>
      </c>
      <c r="Q21" s="251"/>
    </row>
    <row r="22" spans="1:17" ht="17.25" customHeight="1" x14ac:dyDescent="0.25">
      <c r="A22" s="6">
        <v>2024</v>
      </c>
      <c r="B22" s="6">
        <v>189</v>
      </c>
      <c r="C22" s="6" t="str">
        <f>B22&amp;"-24"</f>
        <v>189-24</v>
      </c>
      <c r="D22" s="6" t="s">
        <v>96</v>
      </c>
      <c r="E22" s="6" t="s">
        <v>97</v>
      </c>
      <c r="F22" s="6" t="s">
        <v>67</v>
      </c>
      <c r="G22" s="6" t="s">
        <v>98</v>
      </c>
      <c r="H22" s="6"/>
      <c r="I22" s="318"/>
      <c r="J22" s="4" t="s">
        <v>1615</v>
      </c>
      <c r="K22" s="22"/>
      <c r="L22" s="36"/>
      <c r="M22" s="36"/>
      <c r="N22" s="36"/>
      <c r="O22" s="22" t="s">
        <v>49</v>
      </c>
      <c r="P22" s="6" t="s">
        <v>24</v>
      </c>
      <c r="Q22" s="251" t="s">
        <v>1346</v>
      </c>
    </row>
    <row r="23" spans="1:17" x14ac:dyDescent="0.25">
      <c r="A23" s="6">
        <v>2024</v>
      </c>
      <c r="B23" s="6">
        <v>190</v>
      </c>
      <c r="C23" s="6" t="str">
        <f>B23&amp;"-24"</f>
        <v>190-24</v>
      </c>
      <c r="D23" s="6" t="s">
        <v>99</v>
      </c>
      <c r="E23" s="4" t="s">
        <v>100</v>
      </c>
      <c r="F23" s="230" t="s">
        <v>101</v>
      </c>
      <c r="G23" s="6" t="s">
        <v>20</v>
      </c>
      <c r="H23" s="241">
        <v>202417752811</v>
      </c>
      <c r="I23" s="318">
        <v>8846.1299999999992</v>
      </c>
      <c r="J23" s="4" t="s">
        <v>1622</v>
      </c>
      <c r="K23" s="10" t="s">
        <v>119</v>
      </c>
      <c r="L23" s="37">
        <v>45533</v>
      </c>
      <c r="M23" s="37"/>
      <c r="N23" s="37"/>
      <c r="O23" s="22" t="s">
        <v>102</v>
      </c>
      <c r="P23" s="6" t="s">
        <v>54</v>
      </c>
      <c r="Q23" s="251"/>
    </row>
    <row r="24" spans="1:17" ht="15" customHeight="1" x14ac:dyDescent="0.25">
      <c r="A24" s="6">
        <v>2024</v>
      </c>
      <c r="B24" s="6">
        <v>191</v>
      </c>
      <c r="C24" s="6" t="str">
        <f>B24&amp;"-24"</f>
        <v>191-24</v>
      </c>
      <c r="D24" s="6" t="s">
        <v>103</v>
      </c>
      <c r="E24" s="4" t="s">
        <v>97</v>
      </c>
      <c r="F24" s="6" t="s">
        <v>104</v>
      </c>
      <c r="G24" s="6" t="s">
        <v>105</v>
      </c>
      <c r="H24" s="4"/>
      <c r="I24" s="318"/>
      <c r="J24" s="4" t="s">
        <v>1622</v>
      </c>
      <c r="K24" s="22" t="s">
        <v>106</v>
      </c>
      <c r="L24" s="36"/>
      <c r="M24" s="36"/>
      <c r="N24" s="36"/>
      <c r="O24" s="22" t="s">
        <v>49</v>
      </c>
      <c r="P24" s="6" t="s">
        <v>24</v>
      </c>
      <c r="Q24" s="251"/>
    </row>
    <row r="25" spans="1:17" x14ac:dyDescent="0.25">
      <c r="A25" s="6">
        <v>2024</v>
      </c>
      <c r="B25" s="6">
        <v>193</v>
      </c>
      <c r="C25" s="6" t="str">
        <f>B25&amp;"-24"</f>
        <v>193-24</v>
      </c>
      <c r="D25" s="6" t="s">
        <v>107</v>
      </c>
      <c r="E25" s="6" t="s">
        <v>109</v>
      </c>
      <c r="F25" s="6" t="s">
        <v>108</v>
      </c>
      <c r="G25" s="6" t="s">
        <v>20</v>
      </c>
      <c r="H25" s="241">
        <v>202417767152</v>
      </c>
      <c r="I25" s="318">
        <v>1665.08</v>
      </c>
      <c r="J25" s="4" t="s">
        <v>1622</v>
      </c>
      <c r="K25" s="10" t="s">
        <v>119</v>
      </c>
      <c r="L25" s="37">
        <v>45517</v>
      </c>
      <c r="M25" s="37"/>
      <c r="N25" s="37"/>
      <c r="O25" s="10"/>
      <c r="P25" s="6" t="s">
        <v>54</v>
      </c>
      <c r="Q25" s="251"/>
    </row>
    <row r="26" spans="1:17" ht="16.5" customHeight="1" x14ac:dyDescent="0.25">
      <c r="A26" s="6">
        <v>2024</v>
      </c>
      <c r="B26" s="6">
        <v>195</v>
      </c>
      <c r="C26" s="6" t="str">
        <f>B26&amp;"-24"</f>
        <v>195-24</v>
      </c>
      <c r="D26" s="6" t="s">
        <v>45</v>
      </c>
      <c r="E26" s="8" t="s">
        <v>97</v>
      </c>
      <c r="F26" s="6" t="s">
        <v>47</v>
      </c>
      <c r="G26" s="6" t="s">
        <v>110</v>
      </c>
      <c r="H26" s="242"/>
      <c r="I26" s="319">
        <v>1455.3</v>
      </c>
      <c r="J26" s="4" t="s">
        <v>1611</v>
      </c>
      <c r="K26" s="22"/>
      <c r="L26" s="36">
        <v>45553</v>
      </c>
      <c r="M26" s="36"/>
      <c r="N26" s="36"/>
      <c r="O26" s="22" t="s">
        <v>49</v>
      </c>
      <c r="P26" s="6" t="s">
        <v>24</v>
      </c>
      <c r="Q26" s="251" t="s">
        <v>1598</v>
      </c>
    </row>
    <row r="27" spans="1:17" ht="16.5" customHeight="1" x14ac:dyDescent="0.25">
      <c r="A27" s="6">
        <v>2024</v>
      </c>
      <c r="B27" s="6">
        <v>197</v>
      </c>
      <c r="C27" s="6" t="str">
        <f>B27&amp;"-24"</f>
        <v>197-24</v>
      </c>
      <c r="D27" s="6" t="s">
        <v>111</v>
      </c>
      <c r="E27" s="4" t="s">
        <v>112</v>
      </c>
      <c r="F27" s="230" t="s">
        <v>101</v>
      </c>
      <c r="G27" s="6" t="s">
        <v>20</v>
      </c>
      <c r="H27" s="259">
        <v>202518842182</v>
      </c>
      <c r="I27" s="318">
        <v>6884.63</v>
      </c>
      <c r="J27" s="4" t="s">
        <v>1622</v>
      </c>
      <c r="K27" s="10" t="s">
        <v>119</v>
      </c>
      <c r="L27" s="37">
        <v>45522</v>
      </c>
      <c r="M27" s="37"/>
      <c r="N27" s="37"/>
      <c r="O27" s="22" t="s">
        <v>102</v>
      </c>
      <c r="P27" s="6" t="s">
        <v>54</v>
      </c>
      <c r="Q27" s="251"/>
    </row>
    <row r="28" spans="1:17" ht="15" customHeight="1" x14ac:dyDescent="0.25">
      <c r="A28" s="6">
        <v>2024</v>
      </c>
      <c r="B28" s="6">
        <v>200</v>
      </c>
      <c r="C28" s="6" t="str">
        <f>B28&amp;"-24"</f>
        <v>200-24</v>
      </c>
      <c r="D28" s="11" t="s">
        <v>96</v>
      </c>
      <c r="E28" s="11" t="s">
        <v>67</v>
      </c>
      <c r="F28" s="11" t="s">
        <v>67</v>
      </c>
      <c r="G28" s="6" t="s">
        <v>94</v>
      </c>
      <c r="H28" s="243" t="s">
        <v>113</v>
      </c>
      <c r="I28" s="322">
        <v>92536</v>
      </c>
      <c r="J28" s="4" t="s">
        <v>1618</v>
      </c>
      <c r="K28" s="4"/>
      <c r="L28" s="35">
        <v>45694</v>
      </c>
      <c r="M28" s="35">
        <v>45706</v>
      </c>
      <c r="N28" s="35" t="s">
        <v>82</v>
      </c>
      <c r="O28" s="4" t="s">
        <v>49</v>
      </c>
      <c r="P28" s="11" t="s">
        <v>24</v>
      </c>
      <c r="Q28" s="251"/>
    </row>
    <row r="29" spans="1:17" x14ac:dyDescent="0.25">
      <c r="A29" s="6">
        <v>2024</v>
      </c>
      <c r="B29" s="6">
        <v>201</v>
      </c>
      <c r="C29" s="6" t="str">
        <f>B29&amp;"-24"</f>
        <v>201-24</v>
      </c>
      <c r="D29" s="6" t="s">
        <v>114</v>
      </c>
      <c r="E29" s="6" t="s">
        <v>115</v>
      </c>
      <c r="F29" s="6" t="s">
        <v>115</v>
      </c>
      <c r="G29" s="6" t="s">
        <v>94</v>
      </c>
      <c r="H29" s="244" t="s">
        <v>116</v>
      </c>
      <c r="I29" s="320">
        <v>14995</v>
      </c>
      <c r="J29" s="4" t="s">
        <v>1618</v>
      </c>
      <c r="K29" s="4"/>
      <c r="L29" s="35">
        <v>45671</v>
      </c>
      <c r="M29" s="35">
        <v>45690</v>
      </c>
      <c r="N29" s="35" t="s">
        <v>29</v>
      </c>
      <c r="O29" s="4" t="s">
        <v>49</v>
      </c>
      <c r="P29" s="6" t="s">
        <v>24</v>
      </c>
      <c r="Q29" s="251"/>
    </row>
    <row r="30" spans="1:17" x14ac:dyDescent="0.25">
      <c r="A30" s="6">
        <v>2024</v>
      </c>
      <c r="B30" s="6">
        <v>202</v>
      </c>
      <c r="C30" s="6" t="str">
        <f>B30&amp;"-24"</f>
        <v>202-24</v>
      </c>
      <c r="D30" s="6" t="s">
        <v>117</v>
      </c>
      <c r="E30" s="6" t="s">
        <v>97</v>
      </c>
      <c r="F30" s="6" t="s">
        <v>118</v>
      </c>
      <c r="G30" s="6" t="s">
        <v>20</v>
      </c>
      <c r="H30" s="6"/>
      <c r="I30" s="318">
        <v>6375</v>
      </c>
      <c r="J30" s="4" t="s">
        <v>1622</v>
      </c>
      <c r="K30" s="4" t="s">
        <v>119</v>
      </c>
      <c r="L30" s="35">
        <v>45556</v>
      </c>
      <c r="M30" s="35"/>
      <c r="N30" s="35" t="s">
        <v>120</v>
      </c>
      <c r="O30" s="4" t="s">
        <v>49</v>
      </c>
      <c r="P30" s="6" t="s">
        <v>24</v>
      </c>
      <c r="Q30" s="251"/>
    </row>
    <row r="31" spans="1:17" ht="15" customHeight="1" x14ac:dyDescent="0.25">
      <c r="A31" s="6">
        <v>2024</v>
      </c>
      <c r="B31" s="6">
        <v>203</v>
      </c>
      <c r="C31" s="6" t="str">
        <f>B31&amp;"-24"</f>
        <v>203-24</v>
      </c>
      <c r="D31" s="6" t="s">
        <v>121</v>
      </c>
      <c r="E31" s="6" t="s">
        <v>122</v>
      </c>
      <c r="F31" s="6" t="s">
        <v>123</v>
      </c>
      <c r="G31" s="6" t="s">
        <v>20</v>
      </c>
      <c r="H31" s="259">
        <v>202417912088</v>
      </c>
      <c r="I31" s="318">
        <v>1099.8499999999999</v>
      </c>
      <c r="J31" s="4" t="s">
        <v>1622</v>
      </c>
      <c r="K31" s="10" t="s">
        <v>119</v>
      </c>
      <c r="L31" s="37">
        <v>45528</v>
      </c>
      <c r="M31" s="37"/>
      <c r="N31" s="37"/>
      <c r="O31" s="10"/>
      <c r="P31" s="6" t="s">
        <v>54</v>
      </c>
      <c r="Q31" s="251"/>
    </row>
    <row r="32" spans="1:17" x14ac:dyDescent="0.25">
      <c r="A32" s="6">
        <v>2024</v>
      </c>
      <c r="B32" s="6">
        <v>204</v>
      </c>
      <c r="C32" s="6" t="str">
        <f>B32&amp;"-24"</f>
        <v>204-24</v>
      </c>
      <c r="D32" s="6" t="s">
        <v>124</v>
      </c>
      <c r="E32" s="6" t="s">
        <v>125</v>
      </c>
      <c r="F32" s="230" t="s">
        <v>101</v>
      </c>
      <c r="G32" s="6" t="s">
        <v>20</v>
      </c>
      <c r="H32" s="259">
        <v>202417800034</v>
      </c>
      <c r="I32" s="318">
        <v>10374.379999999999</v>
      </c>
      <c r="J32" s="4" t="s">
        <v>1622</v>
      </c>
      <c r="K32" s="10" t="s">
        <v>119</v>
      </c>
      <c r="L32" s="37">
        <v>45529</v>
      </c>
      <c r="M32" s="37"/>
      <c r="N32" s="37"/>
      <c r="O32" s="22" t="s">
        <v>102</v>
      </c>
      <c r="P32" s="6" t="s">
        <v>54</v>
      </c>
      <c r="Q32" s="251"/>
    </row>
    <row r="33" spans="1:17" x14ac:dyDescent="0.25">
      <c r="A33" s="6">
        <v>2024</v>
      </c>
      <c r="B33" s="6">
        <v>207</v>
      </c>
      <c r="C33" s="6" t="str">
        <f>B33&amp;"-24"</f>
        <v>207-24</v>
      </c>
      <c r="D33" s="6" t="s">
        <v>126</v>
      </c>
      <c r="E33" s="6" t="s">
        <v>127</v>
      </c>
      <c r="F33" s="6" t="s">
        <v>123</v>
      </c>
      <c r="G33" s="6" t="s">
        <v>20</v>
      </c>
      <c r="H33" s="259">
        <v>202417850350</v>
      </c>
      <c r="I33" s="318">
        <v>9012.19</v>
      </c>
      <c r="J33" s="4" t="s">
        <v>1622</v>
      </c>
      <c r="K33" s="10" t="s">
        <v>119</v>
      </c>
      <c r="L33" s="37">
        <v>45895</v>
      </c>
      <c r="M33" s="37"/>
      <c r="N33" s="37"/>
      <c r="O33" s="10"/>
      <c r="P33" s="6" t="s">
        <v>54</v>
      </c>
      <c r="Q33" s="251"/>
    </row>
    <row r="34" spans="1:17" ht="16.5" customHeight="1" x14ac:dyDescent="0.25">
      <c r="A34" s="6">
        <v>2024</v>
      </c>
      <c r="B34" s="6">
        <v>209</v>
      </c>
      <c r="C34" s="6" t="str">
        <f>B34&amp;"-24"</f>
        <v>209-24</v>
      </c>
      <c r="D34" s="6" t="s">
        <v>128</v>
      </c>
      <c r="E34" s="6" t="s">
        <v>129</v>
      </c>
      <c r="F34" s="6" t="s">
        <v>52</v>
      </c>
      <c r="G34" s="6" t="s">
        <v>20</v>
      </c>
      <c r="H34" s="259">
        <v>202417805321</v>
      </c>
      <c r="I34" s="318">
        <v>5130.1400000000003</v>
      </c>
      <c r="J34" s="4" t="s">
        <v>1622</v>
      </c>
      <c r="K34" s="10" t="s">
        <v>119</v>
      </c>
      <c r="L34" s="37">
        <v>45551</v>
      </c>
      <c r="M34" s="37"/>
      <c r="N34" s="37"/>
      <c r="O34" s="10"/>
      <c r="P34" s="6" t="s">
        <v>54</v>
      </c>
      <c r="Q34" s="251"/>
    </row>
    <row r="35" spans="1:17" ht="15" customHeight="1" x14ac:dyDescent="0.25">
      <c r="A35" s="6">
        <v>2024</v>
      </c>
      <c r="B35" s="6">
        <v>211</v>
      </c>
      <c r="C35" s="6" t="str">
        <f>B35&amp;"-24"</f>
        <v>211-24</v>
      </c>
      <c r="D35" s="6" t="s">
        <v>130</v>
      </c>
      <c r="E35" s="6" t="s">
        <v>131</v>
      </c>
      <c r="F35" s="6" t="s">
        <v>132</v>
      </c>
      <c r="G35" s="6" t="s">
        <v>20</v>
      </c>
      <c r="H35" s="259">
        <v>202417807939</v>
      </c>
      <c r="I35" s="318">
        <v>3540.41</v>
      </c>
      <c r="J35" s="4" t="s">
        <v>1622</v>
      </c>
      <c r="K35" s="10" t="s">
        <v>119</v>
      </c>
      <c r="L35" s="37">
        <v>45901</v>
      </c>
      <c r="M35" s="37"/>
      <c r="N35" s="37"/>
      <c r="O35" s="22" t="s">
        <v>133</v>
      </c>
      <c r="P35" s="6" t="s">
        <v>54</v>
      </c>
      <c r="Q35" s="251"/>
    </row>
    <row r="36" spans="1:17" x14ac:dyDescent="0.25">
      <c r="A36" s="6">
        <v>2024</v>
      </c>
      <c r="B36" s="6">
        <v>212</v>
      </c>
      <c r="C36" s="6" t="str">
        <f>B36&amp;"-24"</f>
        <v>212-24</v>
      </c>
      <c r="D36" s="6" t="s">
        <v>134</v>
      </c>
      <c r="E36" s="6" t="s">
        <v>135</v>
      </c>
      <c r="F36" s="6" t="s">
        <v>52</v>
      </c>
      <c r="G36" s="6" t="s">
        <v>20</v>
      </c>
      <c r="H36" s="259">
        <v>202417807879</v>
      </c>
      <c r="I36" s="318">
        <v>1404.7</v>
      </c>
      <c r="J36" s="4" t="s">
        <v>1622</v>
      </c>
      <c r="K36" s="10" t="s">
        <v>119</v>
      </c>
      <c r="L36" s="37">
        <v>45900</v>
      </c>
      <c r="M36" s="37"/>
      <c r="N36" s="37"/>
      <c r="O36" s="10"/>
      <c r="P36" s="6" t="s">
        <v>54</v>
      </c>
      <c r="Q36" s="251"/>
    </row>
    <row r="37" spans="1:17" ht="16.5" customHeight="1" x14ac:dyDescent="0.25">
      <c r="A37" s="6">
        <v>2024</v>
      </c>
      <c r="B37" s="6">
        <v>213</v>
      </c>
      <c r="C37" s="6" t="str">
        <f>B37&amp;"-24"</f>
        <v>213-24</v>
      </c>
      <c r="D37" s="6" t="s">
        <v>136</v>
      </c>
      <c r="E37" s="6" t="s">
        <v>137</v>
      </c>
      <c r="F37" s="6" t="s">
        <v>123</v>
      </c>
      <c r="G37" s="6" t="s">
        <v>20</v>
      </c>
      <c r="H37" s="259">
        <v>202417807986</v>
      </c>
      <c r="I37" s="318">
        <v>777.9</v>
      </c>
      <c r="J37" s="4" t="s">
        <v>1622</v>
      </c>
      <c r="K37" s="10" t="s">
        <v>119</v>
      </c>
      <c r="L37" s="37">
        <v>45896</v>
      </c>
      <c r="M37" s="37"/>
      <c r="N37" s="37"/>
      <c r="O37" s="10"/>
      <c r="P37" s="6" t="s">
        <v>54</v>
      </c>
      <c r="Q37" s="251"/>
    </row>
    <row r="38" spans="1:17" ht="16.5" customHeight="1" x14ac:dyDescent="0.25">
      <c r="A38" s="6">
        <v>2024</v>
      </c>
      <c r="B38" s="6">
        <v>214</v>
      </c>
      <c r="C38" s="6" t="str">
        <f>B38&amp;"-24"</f>
        <v>214-24</v>
      </c>
      <c r="D38" s="6" t="s">
        <v>138</v>
      </c>
      <c r="E38" s="6" t="s">
        <v>139</v>
      </c>
      <c r="F38" s="6" t="s">
        <v>140</v>
      </c>
      <c r="G38" s="6" t="s">
        <v>20</v>
      </c>
      <c r="H38" s="259">
        <v>202417812362</v>
      </c>
      <c r="I38" s="318">
        <v>301.66000000000003</v>
      </c>
      <c r="J38" s="4" t="s">
        <v>1618</v>
      </c>
      <c r="K38" s="10"/>
      <c r="L38" s="37">
        <v>45585</v>
      </c>
      <c r="M38" s="37"/>
      <c r="N38" s="37"/>
      <c r="O38" s="257" t="s">
        <v>49</v>
      </c>
      <c r="P38" s="6" t="s">
        <v>54</v>
      </c>
      <c r="Q38" s="251"/>
    </row>
    <row r="39" spans="1:17" x14ac:dyDescent="0.25">
      <c r="A39" s="6">
        <v>2024</v>
      </c>
      <c r="B39" s="6">
        <v>215</v>
      </c>
      <c r="C39" s="6" t="str">
        <f>B39&amp;"-24"</f>
        <v>215-24</v>
      </c>
      <c r="D39" s="6" t="s">
        <v>141</v>
      </c>
      <c r="E39" s="6" t="s">
        <v>142</v>
      </c>
      <c r="F39" s="6" t="s">
        <v>74</v>
      </c>
      <c r="G39" s="6" t="s">
        <v>20</v>
      </c>
      <c r="H39" s="245">
        <v>202417819523</v>
      </c>
      <c r="I39" s="320">
        <v>5734</v>
      </c>
      <c r="J39" s="4" t="s">
        <v>1622</v>
      </c>
      <c r="K39" s="10" t="s">
        <v>53</v>
      </c>
      <c r="L39" s="37" t="s">
        <v>143</v>
      </c>
      <c r="M39" s="37"/>
      <c r="N39" s="37" t="s">
        <v>144</v>
      </c>
      <c r="O39" s="10" t="s">
        <v>49</v>
      </c>
      <c r="P39" s="6" t="s">
        <v>24</v>
      </c>
      <c r="Q39" s="251"/>
    </row>
    <row r="40" spans="1:17" ht="16.5" customHeight="1" x14ac:dyDescent="0.25">
      <c r="A40" s="6">
        <v>2024</v>
      </c>
      <c r="B40" s="6">
        <v>217</v>
      </c>
      <c r="C40" s="6" t="str">
        <f>B40&amp;"-24"</f>
        <v>217-24</v>
      </c>
      <c r="D40" s="6" t="s">
        <v>145</v>
      </c>
      <c r="E40" s="4" t="s">
        <v>146</v>
      </c>
      <c r="F40" s="4" t="s">
        <v>147</v>
      </c>
      <c r="G40" s="6" t="s">
        <v>20</v>
      </c>
      <c r="H40" s="259">
        <v>202417819756</v>
      </c>
      <c r="I40" s="318">
        <v>787.39</v>
      </c>
      <c r="J40" s="4" t="s">
        <v>1618</v>
      </c>
      <c r="K40" s="10"/>
      <c r="L40" s="37">
        <v>45536</v>
      </c>
      <c r="M40" s="37">
        <v>45581</v>
      </c>
      <c r="N40" s="37">
        <v>45646</v>
      </c>
      <c r="O40" s="257" t="s">
        <v>49</v>
      </c>
      <c r="P40" s="6" t="s">
        <v>54</v>
      </c>
      <c r="Q40" s="251"/>
    </row>
    <row r="41" spans="1:17" x14ac:dyDescent="0.25">
      <c r="A41" s="6">
        <v>2024</v>
      </c>
      <c r="B41" s="6">
        <v>219</v>
      </c>
      <c r="C41" s="6" t="str">
        <f>B41&amp;"-24"</f>
        <v>219-24</v>
      </c>
      <c r="D41" s="6" t="s">
        <v>148</v>
      </c>
      <c r="E41" s="4" t="s">
        <v>149</v>
      </c>
      <c r="F41" s="6" t="s">
        <v>47</v>
      </c>
      <c r="G41" s="6" t="s">
        <v>20</v>
      </c>
      <c r="H41" s="245">
        <v>202417823697</v>
      </c>
      <c r="I41" s="320">
        <v>2200</v>
      </c>
      <c r="J41" s="4" t="s">
        <v>1618</v>
      </c>
      <c r="K41" s="10"/>
      <c r="L41" s="37"/>
      <c r="M41" s="37"/>
      <c r="N41" s="37"/>
      <c r="O41" s="10" t="s">
        <v>49</v>
      </c>
      <c r="P41" s="6" t="s">
        <v>24</v>
      </c>
      <c r="Q41" s="251"/>
    </row>
    <row r="42" spans="1:17" ht="16.5" customHeight="1" x14ac:dyDescent="0.25">
      <c r="A42" s="6">
        <v>2024</v>
      </c>
      <c r="B42" s="6">
        <v>220</v>
      </c>
      <c r="C42" s="6" t="str">
        <f>B42&amp;"-24"</f>
        <v>220-24</v>
      </c>
      <c r="D42" s="6" t="s">
        <v>151</v>
      </c>
      <c r="E42" s="4" t="s">
        <v>152</v>
      </c>
      <c r="F42" s="6" t="s">
        <v>153</v>
      </c>
      <c r="G42" s="6" t="s">
        <v>20</v>
      </c>
      <c r="H42" s="245">
        <v>202417865808</v>
      </c>
      <c r="I42" s="320">
        <v>7037.8</v>
      </c>
      <c r="J42" s="4" t="s">
        <v>1618</v>
      </c>
      <c r="K42" s="10"/>
      <c r="L42" s="37">
        <v>45551</v>
      </c>
      <c r="M42" s="37"/>
      <c r="N42" s="37"/>
      <c r="O42" s="10" t="s">
        <v>49</v>
      </c>
      <c r="P42" s="6" t="s">
        <v>24</v>
      </c>
      <c r="Q42" s="251"/>
    </row>
    <row r="43" spans="1:17" ht="15" customHeight="1" x14ac:dyDescent="0.25">
      <c r="A43" s="6">
        <v>2024</v>
      </c>
      <c r="B43" s="6">
        <v>221</v>
      </c>
      <c r="C43" s="6" t="str">
        <f>B43&amp;"-24"</f>
        <v>221-24</v>
      </c>
      <c r="D43" s="6" t="s">
        <v>154</v>
      </c>
      <c r="E43" s="4" t="s">
        <v>155</v>
      </c>
      <c r="F43" s="6" t="s">
        <v>153</v>
      </c>
      <c r="G43" s="6" t="s">
        <v>1513</v>
      </c>
      <c r="H43" s="245">
        <v>202417839596</v>
      </c>
      <c r="I43" s="320">
        <v>3177.73</v>
      </c>
      <c r="J43" s="4" t="s">
        <v>1611</v>
      </c>
      <c r="K43" s="10"/>
      <c r="L43" s="37"/>
      <c r="M43" s="37"/>
      <c r="N43" s="37"/>
      <c r="O43" s="22" t="s">
        <v>49</v>
      </c>
      <c r="P43" s="6" t="s">
        <v>24</v>
      </c>
      <c r="Q43" s="251" t="s">
        <v>1599</v>
      </c>
    </row>
    <row r="44" spans="1:17" ht="15" customHeight="1" x14ac:dyDescent="0.25">
      <c r="A44" s="6">
        <v>2024</v>
      </c>
      <c r="B44" s="6">
        <v>225</v>
      </c>
      <c r="C44" s="6" t="str">
        <f>B44&amp;"-24"</f>
        <v>225-24</v>
      </c>
      <c r="D44" s="6" t="s">
        <v>156</v>
      </c>
      <c r="E44" s="6" t="s">
        <v>157</v>
      </c>
      <c r="F44" s="230" t="s">
        <v>101</v>
      </c>
      <c r="G44" s="6" t="s">
        <v>20</v>
      </c>
      <c r="H44" s="259">
        <v>202417865776</v>
      </c>
      <c r="I44" s="318">
        <v>978.18</v>
      </c>
      <c r="J44" s="4" t="s">
        <v>1622</v>
      </c>
      <c r="K44" s="10" t="s">
        <v>119</v>
      </c>
      <c r="L44" s="37">
        <v>45551</v>
      </c>
      <c r="M44" s="37"/>
      <c r="N44" s="37"/>
      <c r="O44" s="10"/>
      <c r="P44" s="6" t="s">
        <v>54</v>
      </c>
      <c r="Q44" s="251"/>
    </row>
    <row r="45" spans="1:17" x14ac:dyDescent="0.25">
      <c r="A45" s="6">
        <v>2024</v>
      </c>
      <c r="B45" s="6">
        <v>226</v>
      </c>
      <c r="C45" s="6" t="str">
        <f>B45&amp;"-24"</f>
        <v>226-24</v>
      </c>
      <c r="D45" s="6" t="s">
        <v>158</v>
      </c>
      <c r="E45" s="6" t="s">
        <v>159</v>
      </c>
      <c r="F45" s="6" t="s">
        <v>19</v>
      </c>
      <c r="G45" s="6" t="s">
        <v>160</v>
      </c>
      <c r="H45" s="245">
        <v>202417865763</v>
      </c>
      <c r="I45" s="320">
        <v>6040.24</v>
      </c>
      <c r="J45" s="4" t="s">
        <v>1618</v>
      </c>
      <c r="K45" s="4"/>
      <c r="L45" s="35"/>
      <c r="M45" s="35"/>
      <c r="N45" s="35"/>
      <c r="O45" s="4"/>
      <c r="P45" s="6" t="s">
        <v>24</v>
      </c>
      <c r="Q45" s="251"/>
    </row>
    <row r="46" spans="1:17" ht="16.5" customHeight="1" x14ac:dyDescent="0.25">
      <c r="A46" s="6">
        <v>2024</v>
      </c>
      <c r="B46" s="6">
        <v>227</v>
      </c>
      <c r="C46" s="6" t="str">
        <f>B46&amp;"-24"</f>
        <v>227-24</v>
      </c>
      <c r="D46" s="6" t="s">
        <v>161</v>
      </c>
      <c r="E46" s="6" t="s">
        <v>162</v>
      </c>
      <c r="F46" s="6" t="s">
        <v>153</v>
      </c>
      <c r="G46" s="6" t="s">
        <v>163</v>
      </c>
      <c r="H46" s="245">
        <v>202417860768</v>
      </c>
      <c r="I46" s="320">
        <v>2255</v>
      </c>
      <c r="J46" s="4" t="s">
        <v>1618</v>
      </c>
      <c r="K46" s="4"/>
      <c r="L46" s="35">
        <v>45469</v>
      </c>
      <c r="M46" s="35"/>
      <c r="N46" s="35"/>
      <c r="O46" s="22" t="s">
        <v>49</v>
      </c>
      <c r="P46" s="6" t="s">
        <v>24</v>
      </c>
      <c r="Q46" s="251"/>
    </row>
    <row r="47" spans="1:17" ht="15" customHeight="1" x14ac:dyDescent="0.25">
      <c r="A47" s="6">
        <v>2024</v>
      </c>
      <c r="B47" s="6">
        <v>229</v>
      </c>
      <c r="C47" s="6" t="str">
        <f>B47&amp;"-24"</f>
        <v>229-24</v>
      </c>
      <c r="D47" s="6" t="s">
        <v>164</v>
      </c>
      <c r="E47" s="6" t="s">
        <v>165</v>
      </c>
      <c r="F47" s="1" t="s">
        <v>101</v>
      </c>
      <c r="G47" s="6" t="s">
        <v>20</v>
      </c>
      <c r="H47" s="245">
        <v>202417881461</v>
      </c>
      <c r="I47" s="320">
        <v>832.54</v>
      </c>
      <c r="J47" s="4" t="s">
        <v>1618</v>
      </c>
      <c r="K47" s="4"/>
      <c r="L47" s="35">
        <v>45568</v>
      </c>
      <c r="M47" s="35"/>
      <c r="N47" s="35"/>
      <c r="O47" s="4" t="s">
        <v>102</v>
      </c>
      <c r="P47" s="6" t="s">
        <v>54</v>
      </c>
      <c r="Q47" s="251"/>
    </row>
    <row r="48" spans="1:17" x14ac:dyDescent="0.25">
      <c r="A48" s="6">
        <v>2024</v>
      </c>
      <c r="B48" s="6">
        <v>230</v>
      </c>
      <c r="C48" s="6" t="str">
        <f>B48&amp;"-24"</f>
        <v>230-24</v>
      </c>
      <c r="D48" s="6" t="s">
        <v>167</v>
      </c>
      <c r="E48" s="6" t="s">
        <v>168</v>
      </c>
      <c r="F48" s="6" t="s">
        <v>169</v>
      </c>
      <c r="G48" s="6" t="s">
        <v>20</v>
      </c>
      <c r="H48" s="6"/>
      <c r="I48" s="318">
        <v>1099.98</v>
      </c>
      <c r="J48" s="4" t="s">
        <v>1622</v>
      </c>
      <c r="K48" s="4"/>
      <c r="L48" s="35">
        <v>45553</v>
      </c>
      <c r="M48" s="35"/>
      <c r="N48" s="35"/>
      <c r="O48" s="4" t="s">
        <v>23</v>
      </c>
      <c r="P48" s="6" t="s">
        <v>24</v>
      </c>
      <c r="Q48" s="251"/>
    </row>
    <row r="49" spans="1:17" ht="15" customHeight="1" x14ac:dyDescent="0.25">
      <c r="A49" s="6">
        <v>2024</v>
      </c>
      <c r="B49" s="6">
        <v>231</v>
      </c>
      <c r="C49" s="6" t="str">
        <f>B49&amp;"-24"</f>
        <v>231-24</v>
      </c>
      <c r="D49" s="6" t="s">
        <v>170</v>
      </c>
      <c r="E49" s="7" t="s">
        <v>171</v>
      </c>
      <c r="F49" s="1" t="s">
        <v>85</v>
      </c>
      <c r="G49" s="6" t="s">
        <v>20</v>
      </c>
      <c r="H49" s="6"/>
      <c r="I49" s="320">
        <v>9364.2800000000007</v>
      </c>
      <c r="J49" s="4" t="s">
        <v>1611</v>
      </c>
      <c r="K49" s="10"/>
      <c r="L49" s="37"/>
      <c r="M49" s="37"/>
      <c r="N49" s="37"/>
      <c r="O49" s="10"/>
      <c r="P49" s="6" t="s">
        <v>166</v>
      </c>
      <c r="Q49" s="251" t="s">
        <v>1604</v>
      </c>
    </row>
    <row r="50" spans="1:17" ht="15" customHeight="1" x14ac:dyDescent="0.25">
      <c r="A50" s="6">
        <v>2024</v>
      </c>
      <c r="B50" s="6">
        <v>232</v>
      </c>
      <c r="C50" s="6" t="str">
        <f>B50&amp;"-24"</f>
        <v>232-24</v>
      </c>
      <c r="D50" s="6" t="s">
        <v>172</v>
      </c>
      <c r="E50" s="4" t="s">
        <v>173</v>
      </c>
      <c r="F50" s="4" t="s">
        <v>174</v>
      </c>
      <c r="G50" s="6" t="s">
        <v>175</v>
      </c>
      <c r="H50" s="259">
        <v>3009408636</v>
      </c>
      <c r="I50" s="318">
        <v>466.48</v>
      </c>
      <c r="J50" s="4" t="s">
        <v>1618</v>
      </c>
      <c r="K50" s="3"/>
      <c r="L50" s="34">
        <v>45553</v>
      </c>
      <c r="M50" s="37">
        <v>45554</v>
      </c>
      <c r="N50" s="37"/>
      <c r="O50" s="10" t="s">
        <v>1351</v>
      </c>
      <c r="P50" s="6" t="s">
        <v>54</v>
      </c>
      <c r="Q50" s="251"/>
    </row>
    <row r="51" spans="1:17" ht="15" customHeight="1" x14ac:dyDescent="0.25">
      <c r="A51" s="6">
        <v>2024</v>
      </c>
      <c r="B51" s="6">
        <v>233</v>
      </c>
      <c r="C51" s="6" t="str">
        <f>B51&amp;"-24"</f>
        <v>233-24</v>
      </c>
      <c r="D51" s="6" t="s">
        <v>176</v>
      </c>
      <c r="E51" s="45" t="s">
        <v>177</v>
      </c>
      <c r="F51" s="1" t="s">
        <v>85</v>
      </c>
      <c r="G51" s="6" t="s">
        <v>20</v>
      </c>
      <c r="H51" s="245">
        <v>202518410775</v>
      </c>
      <c r="I51" s="320">
        <v>2231.21</v>
      </c>
      <c r="J51" s="4" t="s">
        <v>1618</v>
      </c>
      <c r="K51" s="10"/>
      <c r="L51" s="37">
        <v>45819</v>
      </c>
      <c r="M51" s="37"/>
      <c r="N51" s="37"/>
      <c r="O51" s="4" t="s">
        <v>23</v>
      </c>
      <c r="P51" s="6" t="s">
        <v>24</v>
      </c>
      <c r="Q51" s="251"/>
    </row>
    <row r="52" spans="1:17" ht="15" customHeight="1" x14ac:dyDescent="0.25">
      <c r="A52" s="6">
        <v>2024</v>
      </c>
      <c r="B52" s="6">
        <v>234</v>
      </c>
      <c r="C52" s="6" t="str">
        <f>B52&amp;"-24"</f>
        <v>234-24</v>
      </c>
      <c r="D52" s="6" t="s">
        <v>178</v>
      </c>
      <c r="E52" s="6" t="s">
        <v>179</v>
      </c>
      <c r="F52" s="6" t="s">
        <v>153</v>
      </c>
      <c r="G52" s="6" t="s">
        <v>20</v>
      </c>
      <c r="H52" s="259">
        <v>202417918952</v>
      </c>
      <c r="I52" s="318">
        <v>2674.34</v>
      </c>
      <c r="J52" s="4" t="s">
        <v>1622</v>
      </c>
      <c r="K52" s="10" t="s">
        <v>119</v>
      </c>
      <c r="L52" s="37">
        <v>45544</v>
      </c>
      <c r="M52" s="81"/>
      <c r="N52" s="37"/>
      <c r="O52" s="10"/>
      <c r="P52" s="6" t="s">
        <v>180</v>
      </c>
      <c r="Q52" s="251"/>
    </row>
    <row r="53" spans="1:17" x14ac:dyDescent="0.25">
      <c r="A53" s="6">
        <v>2024</v>
      </c>
      <c r="B53" s="6">
        <v>235</v>
      </c>
      <c r="C53" s="6" t="str">
        <f>B53&amp;"-24"</f>
        <v>235-24</v>
      </c>
      <c r="D53" s="6" t="s">
        <v>181</v>
      </c>
      <c r="E53" s="7" t="s">
        <v>182</v>
      </c>
      <c r="F53" s="1" t="s">
        <v>183</v>
      </c>
      <c r="G53" s="6" t="s">
        <v>20</v>
      </c>
      <c r="H53" s="245"/>
      <c r="I53" s="320">
        <v>59947.8</v>
      </c>
      <c r="J53" s="4" t="s">
        <v>1611</v>
      </c>
      <c r="K53" s="10"/>
      <c r="L53" s="37"/>
      <c r="M53" s="37"/>
      <c r="N53" s="37"/>
      <c r="O53" s="4" t="s">
        <v>23</v>
      </c>
      <c r="P53" s="6" t="s">
        <v>166</v>
      </c>
      <c r="Q53" s="251" t="s">
        <v>1604</v>
      </c>
    </row>
    <row r="54" spans="1:17" x14ac:dyDescent="0.25">
      <c r="A54" s="6">
        <v>2024</v>
      </c>
      <c r="B54" s="6">
        <v>236</v>
      </c>
      <c r="C54" s="6" t="str">
        <f>B54&amp;"-24"</f>
        <v>236-24</v>
      </c>
      <c r="D54" s="6" t="s">
        <v>184</v>
      </c>
      <c r="E54" s="4" t="s">
        <v>185</v>
      </c>
      <c r="F54" s="4" t="s">
        <v>108</v>
      </c>
      <c r="G54" s="6" t="s">
        <v>20</v>
      </c>
      <c r="H54" s="259">
        <v>202417879909</v>
      </c>
      <c r="I54" s="318">
        <v>2667.27</v>
      </c>
      <c r="J54" s="4" t="s">
        <v>1622</v>
      </c>
      <c r="K54" s="10" t="s">
        <v>119</v>
      </c>
      <c r="L54" s="37">
        <v>45558</v>
      </c>
      <c r="M54" s="37"/>
      <c r="N54" s="37"/>
      <c r="O54" s="10"/>
      <c r="P54" s="6" t="s">
        <v>180</v>
      </c>
      <c r="Q54" s="251"/>
    </row>
    <row r="55" spans="1:17" x14ac:dyDescent="0.25">
      <c r="A55" s="6">
        <v>2024</v>
      </c>
      <c r="B55" s="6">
        <v>237</v>
      </c>
      <c r="C55" s="6" t="str">
        <f>B55&amp;"-24"</f>
        <v>237-24</v>
      </c>
      <c r="D55" s="6" t="s">
        <v>186</v>
      </c>
      <c r="E55" s="6" t="s">
        <v>187</v>
      </c>
      <c r="F55" s="230" t="s">
        <v>85</v>
      </c>
      <c r="G55" s="6" t="s">
        <v>20</v>
      </c>
      <c r="H55" s="6"/>
      <c r="I55" s="316">
        <v>40401</v>
      </c>
      <c r="J55" s="4" t="s">
        <v>1611</v>
      </c>
      <c r="K55" s="10"/>
      <c r="L55" s="37">
        <v>45585</v>
      </c>
      <c r="M55" s="37"/>
      <c r="N55" s="37"/>
      <c r="O55" s="22" t="s">
        <v>49</v>
      </c>
      <c r="P55" s="6" t="s">
        <v>166</v>
      </c>
      <c r="Q55" s="251" t="s">
        <v>1604</v>
      </c>
    </row>
    <row r="56" spans="1:17" ht="15" customHeight="1" x14ac:dyDescent="0.25">
      <c r="A56" s="6">
        <v>2024</v>
      </c>
      <c r="B56" s="6">
        <v>238</v>
      </c>
      <c r="C56" s="6" t="str">
        <f>B56&amp;"-24"</f>
        <v>238-24</v>
      </c>
      <c r="D56" s="6" t="s">
        <v>188</v>
      </c>
      <c r="E56" s="6" t="s">
        <v>67</v>
      </c>
      <c r="F56" s="6" t="s">
        <v>67</v>
      </c>
      <c r="G56" s="6" t="s">
        <v>20</v>
      </c>
      <c r="H56" s="245">
        <v>202417933544</v>
      </c>
      <c r="I56" s="319">
        <v>340.08</v>
      </c>
      <c r="J56" s="4" t="s">
        <v>1618</v>
      </c>
      <c r="K56" s="10"/>
      <c r="L56" s="37"/>
      <c r="M56" s="37"/>
      <c r="N56" s="37"/>
      <c r="O56" s="10"/>
      <c r="P56" s="6" t="s">
        <v>24</v>
      </c>
      <c r="Q56" s="251"/>
    </row>
    <row r="57" spans="1:17" x14ac:dyDescent="0.25">
      <c r="A57" s="6">
        <v>2024</v>
      </c>
      <c r="B57" s="6">
        <v>239</v>
      </c>
      <c r="C57" s="6" t="str">
        <f>B57&amp;"-24"</f>
        <v>239-24</v>
      </c>
      <c r="D57" s="6" t="s">
        <v>189</v>
      </c>
      <c r="E57" s="6" t="s">
        <v>190</v>
      </c>
      <c r="F57" s="6" t="s">
        <v>19</v>
      </c>
      <c r="G57" s="6" t="s">
        <v>20</v>
      </c>
      <c r="H57" s="259">
        <v>202417884852</v>
      </c>
      <c r="I57" s="317">
        <v>220</v>
      </c>
      <c r="J57" s="4" t="s">
        <v>1622</v>
      </c>
      <c r="K57" s="22" t="s">
        <v>119</v>
      </c>
      <c r="L57" s="36">
        <v>45559</v>
      </c>
      <c r="M57" s="36"/>
      <c r="N57" s="36"/>
      <c r="O57" s="22"/>
      <c r="P57" s="6" t="s">
        <v>180</v>
      </c>
      <c r="Q57" s="251"/>
    </row>
    <row r="58" spans="1:17" x14ac:dyDescent="0.25">
      <c r="A58" s="6">
        <v>2024</v>
      </c>
      <c r="B58" s="6">
        <v>241</v>
      </c>
      <c r="C58" s="6" t="str">
        <f>B58&amp;"-24"</f>
        <v>241-24</v>
      </c>
      <c r="D58" s="6" t="s">
        <v>191</v>
      </c>
      <c r="E58" s="6" t="s">
        <v>192</v>
      </c>
      <c r="F58" s="6" t="s">
        <v>153</v>
      </c>
      <c r="G58" s="6" t="s">
        <v>20</v>
      </c>
      <c r="H58" s="259">
        <v>202417882110</v>
      </c>
      <c r="I58" s="318">
        <v>2082.25</v>
      </c>
      <c r="J58" s="4" t="s">
        <v>1611</v>
      </c>
      <c r="K58" s="10"/>
      <c r="L58" s="37">
        <v>45559</v>
      </c>
      <c r="M58" s="37"/>
      <c r="N58" s="37"/>
      <c r="O58" s="10"/>
      <c r="P58" s="6" t="s">
        <v>238</v>
      </c>
      <c r="Q58" s="251" t="s">
        <v>1604</v>
      </c>
    </row>
    <row r="59" spans="1:17" ht="15" customHeight="1" x14ac:dyDescent="0.25">
      <c r="A59" s="6">
        <v>2024</v>
      </c>
      <c r="B59" s="6">
        <v>242</v>
      </c>
      <c r="C59" s="6" t="str">
        <f>B59&amp;"-24"</f>
        <v>242-24</v>
      </c>
      <c r="D59" s="6" t="s">
        <v>193</v>
      </c>
      <c r="E59" s="6" t="s">
        <v>33</v>
      </c>
      <c r="F59" s="6" t="s">
        <v>33</v>
      </c>
      <c r="G59" s="6" t="s">
        <v>20</v>
      </c>
      <c r="H59" s="245">
        <v>202417900415</v>
      </c>
      <c r="I59" s="315">
        <v>41345.379999999997</v>
      </c>
      <c r="J59" s="4" t="s">
        <v>1611</v>
      </c>
      <c r="K59" s="10"/>
      <c r="L59" s="37">
        <v>45567</v>
      </c>
      <c r="M59" s="37"/>
      <c r="N59" s="37"/>
      <c r="O59" s="10"/>
      <c r="P59" s="6" t="s">
        <v>24</v>
      </c>
      <c r="Q59" s="251" t="s">
        <v>1604</v>
      </c>
    </row>
    <row r="60" spans="1:17" x14ac:dyDescent="0.25">
      <c r="A60" s="6">
        <v>2024</v>
      </c>
      <c r="B60" s="6">
        <v>243</v>
      </c>
      <c r="C60" s="6" t="str">
        <f>B60&amp;"-24"</f>
        <v>243-24</v>
      </c>
      <c r="D60" s="6" t="s">
        <v>194</v>
      </c>
      <c r="E60" s="6" t="s">
        <v>194</v>
      </c>
      <c r="F60" s="6" t="s">
        <v>195</v>
      </c>
      <c r="G60" s="6" t="s">
        <v>20</v>
      </c>
      <c r="H60" s="245">
        <v>202417894556</v>
      </c>
      <c r="I60" s="315">
        <v>364.02</v>
      </c>
      <c r="J60" s="4" t="s">
        <v>1618</v>
      </c>
      <c r="K60" s="10"/>
      <c r="L60" s="37">
        <v>45563</v>
      </c>
      <c r="M60" s="37"/>
      <c r="N60" s="37"/>
      <c r="O60" s="10"/>
      <c r="P60" s="6" t="s">
        <v>54</v>
      </c>
      <c r="Q60" s="251"/>
    </row>
    <row r="61" spans="1:17" x14ac:dyDescent="0.25">
      <c r="A61" s="6">
        <v>2024</v>
      </c>
      <c r="B61" s="6">
        <v>245</v>
      </c>
      <c r="C61" s="6" t="str">
        <f>B61&amp;"-24"</f>
        <v>245-24</v>
      </c>
      <c r="D61" s="6" t="s">
        <v>104</v>
      </c>
      <c r="E61" s="6" t="s">
        <v>104</v>
      </c>
      <c r="F61" s="6" t="s">
        <v>104</v>
      </c>
      <c r="G61" s="6" t="s">
        <v>20</v>
      </c>
      <c r="H61" s="245">
        <v>202417902507</v>
      </c>
      <c r="I61" s="315">
        <v>55057.83</v>
      </c>
      <c r="J61" s="4" t="s">
        <v>1611</v>
      </c>
      <c r="K61" s="10"/>
      <c r="L61" s="37">
        <v>45627</v>
      </c>
      <c r="M61" s="37"/>
      <c r="N61" s="37"/>
      <c r="O61" s="10"/>
      <c r="P61" s="6" t="s">
        <v>24</v>
      </c>
      <c r="Q61" s="251" t="s">
        <v>1604</v>
      </c>
    </row>
    <row r="62" spans="1:17" x14ac:dyDescent="0.25">
      <c r="A62" s="6">
        <v>2024</v>
      </c>
      <c r="B62" s="6">
        <v>246</v>
      </c>
      <c r="C62" s="6" t="str">
        <f>B62&amp;"-24"</f>
        <v>246-24</v>
      </c>
      <c r="D62" s="6" t="s">
        <v>196</v>
      </c>
      <c r="E62" s="6" t="s">
        <v>196</v>
      </c>
      <c r="F62" s="6" t="s">
        <v>197</v>
      </c>
      <c r="G62" s="6" t="s">
        <v>20</v>
      </c>
      <c r="H62" s="245">
        <v>202417905726</v>
      </c>
      <c r="I62" s="315">
        <v>7944.09</v>
      </c>
      <c r="J62" s="4" t="s">
        <v>1622</v>
      </c>
      <c r="K62" s="10" t="s">
        <v>119</v>
      </c>
      <c r="L62" s="37">
        <v>45575</v>
      </c>
      <c r="M62" s="37"/>
      <c r="N62" s="37"/>
      <c r="O62" s="10"/>
      <c r="P62" s="6" t="s">
        <v>24</v>
      </c>
      <c r="Q62" s="251"/>
    </row>
    <row r="63" spans="1:17" ht="15" customHeight="1" x14ac:dyDescent="0.25">
      <c r="A63" s="6">
        <v>2024</v>
      </c>
      <c r="B63" s="6">
        <v>247</v>
      </c>
      <c r="C63" s="6" t="str">
        <f>B63&amp;"-24"</f>
        <v>247-24</v>
      </c>
      <c r="D63" s="6" t="s">
        <v>198</v>
      </c>
      <c r="E63" s="6" t="s">
        <v>199</v>
      </c>
      <c r="F63" s="1" t="s">
        <v>85</v>
      </c>
      <c r="G63" s="6" t="s">
        <v>20</v>
      </c>
      <c r="H63" s="245">
        <v>202417909072</v>
      </c>
      <c r="I63" s="315">
        <v>17254.25</v>
      </c>
      <c r="J63" s="4" t="s">
        <v>1611</v>
      </c>
      <c r="K63" s="10"/>
      <c r="L63" s="37">
        <v>45570</v>
      </c>
      <c r="M63" s="37"/>
      <c r="N63" s="37"/>
      <c r="O63" s="10"/>
      <c r="P63" s="6" t="s">
        <v>24</v>
      </c>
      <c r="Q63" s="251" t="s">
        <v>1604</v>
      </c>
    </row>
    <row r="64" spans="1:17" x14ac:dyDescent="0.25">
      <c r="A64" s="6">
        <v>2024</v>
      </c>
      <c r="B64" s="6">
        <v>250</v>
      </c>
      <c r="C64" s="6" t="str">
        <f>B64&amp;"-24"</f>
        <v>250-24</v>
      </c>
      <c r="D64" s="6" t="s">
        <v>196</v>
      </c>
      <c r="E64" s="6" t="s">
        <v>196</v>
      </c>
      <c r="F64" s="6" t="s">
        <v>197</v>
      </c>
      <c r="G64" s="6" t="s">
        <v>20</v>
      </c>
      <c r="H64" s="245">
        <v>202417926100</v>
      </c>
      <c r="I64" s="315">
        <v>58.21</v>
      </c>
      <c r="J64" s="4" t="s">
        <v>1618</v>
      </c>
      <c r="K64" s="10"/>
      <c r="L64" s="37">
        <v>45582</v>
      </c>
      <c r="M64" s="37"/>
      <c r="N64" s="37"/>
      <c r="O64" s="10"/>
      <c r="P64" s="6" t="s">
        <v>54</v>
      </c>
      <c r="Q64" s="251"/>
    </row>
    <row r="65" spans="1:17" ht="15" customHeight="1" x14ac:dyDescent="0.25">
      <c r="A65" s="6">
        <v>2024</v>
      </c>
      <c r="B65" s="6">
        <v>251</v>
      </c>
      <c r="C65" s="6" t="str">
        <f>B65&amp;"-24"</f>
        <v>251-24</v>
      </c>
      <c r="D65" s="6" t="s">
        <v>196</v>
      </c>
      <c r="E65" s="6" t="s">
        <v>196</v>
      </c>
      <c r="F65" s="6" t="s">
        <v>197</v>
      </c>
      <c r="G65" s="6" t="s">
        <v>200</v>
      </c>
      <c r="H65" s="6"/>
      <c r="I65" s="330"/>
      <c r="J65" s="4" t="s">
        <v>1622</v>
      </c>
      <c r="K65" s="10" t="s">
        <v>808</v>
      </c>
      <c r="L65" s="37"/>
      <c r="M65" s="37"/>
      <c r="N65" s="37"/>
      <c r="O65" s="10"/>
      <c r="P65" s="6" t="s">
        <v>24</v>
      </c>
      <c r="Q65" s="251"/>
    </row>
    <row r="66" spans="1:17" x14ac:dyDescent="0.25">
      <c r="A66" s="6">
        <v>2024</v>
      </c>
      <c r="B66" s="6">
        <v>252</v>
      </c>
      <c r="C66" s="6" t="str">
        <f>B66&amp;"-24"</f>
        <v>252-24</v>
      </c>
      <c r="D66" s="6" t="s">
        <v>201</v>
      </c>
      <c r="E66" s="6" t="s">
        <v>201</v>
      </c>
      <c r="F66" s="1" t="s">
        <v>202</v>
      </c>
      <c r="G66" s="6" t="s">
        <v>20</v>
      </c>
      <c r="H66" s="245">
        <v>202417942065</v>
      </c>
      <c r="I66" s="316">
        <v>600</v>
      </c>
      <c r="J66" s="4" t="s">
        <v>1622</v>
      </c>
      <c r="K66" s="10" t="s">
        <v>119</v>
      </c>
      <c r="L66" s="37">
        <v>45577</v>
      </c>
      <c r="M66" s="38"/>
      <c r="N66" s="38"/>
      <c r="O66" s="10"/>
      <c r="P66" s="6" t="s">
        <v>24</v>
      </c>
      <c r="Q66" s="251"/>
    </row>
    <row r="67" spans="1:17" ht="15" customHeight="1" x14ac:dyDescent="0.25">
      <c r="A67" s="6">
        <v>2024</v>
      </c>
      <c r="B67" s="6">
        <v>253</v>
      </c>
      <c r="C67" s="6" t="str">
        <f>B67&amp;"-24"</f>
        <v>253-24</v>
      </c>
      <c r="D67" s="6" t="s">
        <v>203</v>
      </c>
      <c r="E67" s="6" t="s">
        <v>203</v>
      </c>
      <c r="F67" s="6" t="s">
        <v>153</v>
      </c>
      <c r="G67" s="6" t="s">
        <v>204</v>
      </c>
      <c r="H67" s="6"/>
      <c r="I67" s="316"/>
      <c r="J67" s="4" t="s">
        <v>1618</v>
      </c>
      <c r="K67" s="10"/>
      <c r="L67" s="37"/>
      <c r="M67" s="37"/>
      <c r="N67" s="37"/>
      <c r="O67" s="10"/>
      <c r="P67" s="6" t="s">
        <v>24</v>
      </c>
      <c r="Q67" s="251"/>
    </row>
    <row r="68" spans="1:17" ht="15" customHeight="1" x14ac:dyDescent="0.25">
      <c r="A68" s="6">
        <v>2024</v>
      </c>
      <c r="B68" s="6">
        <v>254</v>
      </c>
      <c r="C68" s="6" t="str">
        <f>B68&amp;"-24"</f>
        <v>254-24</v>
      </c>
      <c r="D68" s="6" t="s">
        <v>205</v>
      </c>
      <c r="E68" s="6" t="s">
        <v>205</v>
      </c>
      <c r="F68" s="6" t="s">
        <v>205</v>
      </c>
      <c r="G68" s="6" t="s">
        <v>20</v>
      </c>
      <c r="H68" s="245">
        <v>202417941985</v>
      </c>
      <c r="I68" s="315">
        <v>689.44</v>
      </c>
      <c r="J68" s="4" t="s">
        <v>1622</v>
      </c>
      <c r="K68" s="10" t="s">
        <v>119</v>
      </c>
      <c r="L68" s="385">
        <v>45580</v>
      </c>
      <c r="M68" s="37"/>
      <c r="N68" s="37"/>
      <c r="O68" s="4" t="s">
        <v>23</v>
      </c>
      <c r="P68" s="6" t="s">
        <v>54</v>
      </c>
      <c r="Q68" s="251"/>
    </row>
    <row r="69" spans="1:17" x14ac:dyDescent="0.25">
      <c r="A69" s="6">
        <v>2024</v>
      </c>
      <c r="B69" s="6">
        <v>257</v>
      </c>
      <c r="C69" s="6" t="str">
        <f>B69&amp;"-24"</f>
        <v>257-24</v>
      </c>
      <c r="D69" s="6" t="s">
        <v>206</v>
      </c>
      <c r="E69" s="6" t="s">
        <v>206</v>
      </c>
      <c r="F69" s="6" t="s">
        <v>147</v>
      </c>
      <c r="G69" s="6" t="s">
        <v>20</v>
      </c>
      <c r="H69" s="259">
        <v>2005152873</v>
      </c>
      <c r="I69" s="316">
        <v>668.5</v>
      </c>
      <c r="J69" s="4" t="s">
        <v>1618</v>
      </c>
      <c r="K69" s="10"/>
      <c r="L69" s="37">
        <v>45591</v>
      </c>
      <c r="M69" s="35">
        <v>45670</v>
      </c>
      <c r="N69" s="35">
        <v>45701</v>
      </c>
      <c r="O69" s="22" t="s">
        <v>133</v>
      </c>
      <c r="P69" s="6" t="s">
        <v>54</v>
      </c>
      <c r="Q69" s="251"/>
    </row>
    <row r="70" spans="1:17" ht="15" customHeight="1" x14ac:dyDescent="0.25">
      <c r="A70" s="6">
        <v>2024</v>
      </c>
      <c r="B70" s="6">
        <v>258</v>
      </c>
      <c r="C70" s="6" t="str">
        <f>B70&amp;"-24"</f>
        <v>258-24</v>
      </c>
      <c r="D70" s="6" t="s">
        <v>207</v>
      </c>
      <c r="E70" s="6" t="s">
        <v>207</v>
      </c>
      <c r="F70" s="6" t="s">
        <v>208</v>
      </c>
      <c r="G70" s="6" t="s">
        <v>20</v>
      </c>
      <c r="H70" s="245">
        <v>2005153252</v>
      </c>
      <c r="I70" s="315">
        <v>55867.41</v>
      </c>
      <c r="J70" s="4" t="s">
        <v>1622</v>
      </c>
      <c r="K70" s="10" t="s">
        <v>119</v>
      </c>
      <c r="L70" s="37"/>
      <c r="M70" s="35"/>
      <c r="N70" s="35"/>
      <c r="O70" s="4"/>
      <c r="P70" s="6" t="s">
        <v>24</v>
      </c>
      <c r="Q70" s="251"/>
    </row>
    <row r="71" spans="1:17" ht="15" customHeight="1" x14ac:dyDescent="0.25">
      <c r="A71" s="6">
        <v>2024</v>
      </c>
      <c r="B71" s="6">
        <v>260</v>
      </c>
      <c r="C71" s="6" t="str">
        <f>B71&amp;"-24"</f>
        <v>260-24</v>
      </c>
      <c r="D71" s="6" t="s">
        <v>209</v>
      </c>
      <c r="E71" s="6" t="s">
        <v>210</v>
      </c>
      <c r="F71" s="230" t="s">
        <v>101</v>
      </c>
      <c r="G71" s="6" t="s">
        <v>20</v>
      </c>
      <c r="H71" s="259">
        <v>2005153412</v>
      </c>
      <c r="I71" s="316">
        <v>2223.62</v>
      </c>
      <c r="J71" s="4" t="s">
        <v>1618</v>
      </c>
      <c r="K71" s="10"/>
      <c r="L71" s="37">
        <v>45705</v>
      </c>
      <c r="M71" s="35">
        <v>45705</v>
      </c>
      <c r="N71" s="35">
        <v>45774</v>
      </c>
      <c r="O71" s="22" t="s">
        <v>102</v>
      </c>
      <c r="P71" s="6" t="s">
        <v>54</v>
      </c>
      <c r="Q71" s="251"/>
    </row>
    <row r="72" spans="1:17" x14ac:dyDescent="0.25">
      <c r="A72" s="6">
        <v>2024</v>
      </c>
      <c r="B72" s="6">
        <v>261</v>
      </c>
      <c r="C72" s="6" t="str">
        <f>B72&amp;"-24"</f>
        <v>261-24</v>
      </c>
      <c r="D72" s="6" t="s">
        <v>211</v>
      </c>
      <c r="E72" s="6" t="s">
        <v>211</v>
      </c>
      <c r="F72" s="6" t="s">
        <v>19</v>
      </c>
      <c r="G72" s="6" t="s">
        <v>20</v>
      </c>
      <c r="H72" s="259">
        <v>2005153398</v>
      </c>
      <c r="I72" s="316">
        <v>7584</v>
      </c>
      <c r="J72" s="4" t="s">
        <v>1618</v>
      </c>
      <c r="K72" s="10"/>
      <c r="L72" s="37">
        <v>45603</v>
      </c>
      <c r="M72" s="35">
        <v>45656</v>
      </c>
      <c r="N72" s="35"/>
      <c r="O72" s="4"/>
      <c r="P72" s="6" t="s">
        <v>54</v>
      </c>
      <c r="Q72" s="251"/>
    </row>
    <row r="73" spans="1:17" x14ac:dyDescent="0.25">
      <c r="A73" s="6">
        <v>2024</v>
      </c>
      <c r="B73" s="6">
        <v>262</v>
      </c>
      <c r="C73" s="6" t="str">
        <f>B73&amp;"-24"</f>
        <v>262-24</v>
      </c>
      <c r="D73" s="6" t="s">
        <v>212</v>
      </c>
      <c r="E73" s="6" t="s">
        <v>213</v>
      </c>
      <c r="F73" s="6" t="s">
        <v>47</v>
      </c>
      <c r="G73" s="6" t="s">
        <v>20</v>
      </c>
      <c r="H73" s="245">
        <v>2005153541</v>
      </c>
      <c r="I73" s="315">
        <v>9774.6</v>
      </c>
      <c r="J73" s="4" t="s">
        <v>1622</v>
      </c>
      <c r="K73" s="4" t="s">
        <v>119</v>
      </c>
      <c r="L73" s="35"/>
      <c r="M73" s="35"/>
      <c r="N73" s="35"/>
      <c r="O73" s="4"/>
      <c r="P73" s="6" t="s">
        <v>24</v>
      </c>
      <c r="Q73" s="251"/>
    </row>
    <row r="74" spans="1:17" ht="15" customHeight="1" x14ac:dyDescent="0.25">
      <c r="A74" s="6">
        <v>2024</v>
      </c>
      <c r="B74" s="6">
        <v>263</v>
      </c>
      <c r="C74" s="6" t="str">
        <f>B74&amp;"-24"</f>
        <v>263-24</v>
      </c>
      <c r="D74" s="6" t="s">
        <v>214</v>
      </c>
      <c r="E74" s="6" t="s">
        <v>104</v>
      </c>
      <c r="F74" s="6" t="s">
        <v>104</v>
      </c>
      <c r="G74" s="6" t="s">
        <v>20</v>
      </c>
      <c r="H74" s="245">
        <v>202417982370</v>
      </c>
      <c r="I74" s="315">
        <v>2027</v>
      </c>
      <c r="J74" s="4" t="s">
        <v>1622</v>
      </c>
      <c r="K74" s="4" t="s">
        <v>119</v>
      </c>
      <c r="L74" s="35">
        <v>45593</v>
      </c>
      <c r="M74" s="35"/>
      <c r="N74" s="35"/>
      <c r="O74" s="4"/>
      <c r="P74" s="6" t="s">
        <v>24</v>
      </c>
      <c r="Q74" s="251"/>
    </row>
    <row r="75" spans="1:17" ht="15" customHeight="1" x14ac:dyDescent="0.25">
      <c r="A75" s="6">
        <v>2024</v>
      </c>
      <c r="B75" s="6">
        <v>264</v>
      </c>
      <c r="C75" s="6" t="str">
        <f>B75&amp;"-24"</f>
        <v>264-24</v>
      </c>
      <c r="D75" s="6" t="s">
        <v>215</v>
      </c>
      <c r="E75" s="6" t="s">
        <v>216</v>
      </c>
      <c r="F75" s="6" t="s">
        <v>153</v>
      </c>
      <c r="G75" s="6" t="s">
        <v>20</v>
      </c>
      <c r="H75" s="245">
        <v>202417986176</v>
      </c>
      <c r="I75" s="315">
        <v>10824</v>
      </c>
      <c r="J75" s="4" t="s">
        <v>1618</v>
      </c>
      <c r="K75" s="4"/>
      <c r="L75" s="35">
        <v>45600</v>
      </c>
      <c r="M75" s="35"/>
      <c r="N75" s="35"/>
      <c r="O75" s="4"/>
      <c r="P75" s="6" t="s">
        <v>24</v>
      </c>
      <c r="Q75" s="251"/>
    </row>
    <row r="76" spans="1:17" ht="15" customHeight="1" x14ac:dyDescent="0.25">
      <c r="A76" s="6">
        <v>2024</v>
      </c>
      <c r="B76" s="6">
        <v>265</v>
      </c>
      <c r="C76" s="6" t="str">
        <f>B76&amp;"-24"</f>
        <v>265-24</v>
      </c>
      <c r="D76" s="6" t="s">
        <v>217</v>
      </c>
      <c r="E76" s="6" t="s">
        <v>218</v>
      </c>
      <c r="F76" s="6" t="s">
        <v>195</v>
      </c>
      <c r="G76" s="6" t="s">
        <v>20</v>
      </c>
      <c r="H76" s="245">
        <v>202418025408</v>
      </c>
      <c r="I76" s="315">
        <v>419.1</v>
      </c>
      <c r="J76" s="4" t="s">
        <v>1618</v>
      </c>
      <c r="K76" s="4"/>
      <c r="L76" s="35">
        <v>45608</v>
      </c>
      <c r="M76" s="35"/>
      <c r="N76" s="35"/>
      <c r="O76" s="4"/>
      <c r="P76" s="6" t="s">
        <v>54</v>
      </c>
      <c r="Q76" s="251"/>
    </row>
    <row r="77" spans="1:17" x14ac:dyDescent="0.25">
      <c r="A77" s="6">
        <v>2024</v>
      </c>
      <c r="B77" s="6">
        <v>266</v>
      </c>
      <c r="C77" s="6" t="str">
        <f>B77&amp;"-24"</f>
        <v>266-24</v>
      </c>
      <c r="D77" s="6" t="s">
        <v>219</v>
      </c>
      <c r="E77" s="6" t="s">
        <v>220</v>
      </c>
      <c r="F77" s="6" t="s">
        <v>52</v>
      </c>
      <c r="G77" s="6" t="s">
        <v>20</v>
      </c>
      <c r="H77" s="245">
        <v>202418035672</v>
      </c>
      <c r="I77" s="315">
        <v>239.8</v>
      </c>
      <c r="J77" s="4" t="s">
        <v>1618</v>
      </c>
      <c r="K77" s="4"/>
      <c r="L77" s="35">
        <v>45986</v>
      </c>
      <c r="M77" s="35"/>
      <c r="N77" s="35"/>
      <c r="O77" s="4"/>
      <c r="P77" s="6" t="s">
        <v>54</v>
      </c>
      <c r="Q77" s="251"/>
    </row>
    <row r="78" spans="1:17" ht="15" customHeight="1" x14ac:dyDescent="0.25">
      <c r="A78" s="6">
        <v>2024</v>
      </c>
      <c r="B78" s="6">
        <v>267</v>
      </c>
      <c r="C78" s="6" t="str">
        <f>B78&amp;"-24"</f>
        <v>267-24</v>
      </c>
      <c r="D78" s="6" t="s">
        <v>221</v>
      </c>
      <c r="E78" s="6" t="s">
        <v>218</v>
      </c>
      <c r="F78" s="6" t="s">
        <v>195</v>
      </c>
      <c r="G78" s="6" t="s">
        <v>20</v>
      </c>
      <c r="H78" s="245">
        <v>202418010327</v>
      </c>
      <c r="I78" s="315">
        <v>1227.5999999999999</v>
      </c>
      <c r="J78" s="4" t="s">
        <v>1618</v>
      </c>
      <c r="K78" s="4"/>
      <c r="L78" s="35">
        <v>45607</v>
      </c>
      <c r="M78" s="35"/>
      <c r="N78" s="35"/>
      <c r="O78" s="4"/>
      <c r="P78" s="6" t="s">
        <v>54</v>
      </c>
      <c r="Q78" s="251"/>
    </row>
    <row r="79" spans="1:17" x14ac:dyDescent="0.25">
      <c r="A79" s="6">
        <v>2024</v>
      </c>
      <c r="B79" s="6">
        <v>269</v>
      </c>
      <c r="C79" s="6" t="str">
        <f>B79&amp;"-24"</f>
        <v>269-24</v>
      </c>
      <c r="D79" s="6" t="s">
        <v>222</v>
      </c>
      <c r="E79" s="6" t="s">
        <v>223</v>
      </c>
      <c r="F79" s="4" t="s">
        <v>224</v>
      </c>
      <c r="G79" s="6" t="s">
        <v>20</v>
      </c>
      <c r="H79" s="245">
        <v>202418025394</v>
      </c>
      <c r="I79" s="315"/>
      <c r="J79" s="4" t="s">
        <v>1622</v>
      </c>
      <c r="K79" s="4" t="s">
        <v>285</v>
      </c>
      <c r="L79" s="35">
        <v>45976</v>
      </c>
      <c r="M79" s="35"/>
      <c r="N79" s="35"/>
      <c r="O79" s="4"/>
      <c r="P79" s="6" t="s">
        <v>24</v>
      </c>
      <c r="Q79" s="251"/>
    </row>
    <row r="80" spans="1:17" ht="15" customHeight="1" x14ac:dyDescent="0.25">
      <c r="A80" s="6">
        <v>2024</v>
      </c>
      <c r="B80" s="6">
        <v>270</v>
      </c>
      <c r="C80" s="6" t="str">
        <f>B80&amp;"-24"</f>
        <v>270-24</v>
      </c>
      <c r="D80" s="6" t="s">
        <v>225</v>
      </c>
      <c r="E80" s="6" t="s">
        <v>226</v>
      </c>
      <c r="F80" s="6" t="s">
        <v>227</v>
      </c>
      <c r="G80" s="6" t="s">
        <v>228</v>
      </c>
      <c r="H80" s="245">
        <v>202418021917</v>
      </c>
      <c r="I80" s="315"/>
      <c r="J80" s="4" t="s">
        <v>1622</v>
      </c>
      <c r="K80" s="4" t="s">
        <v>44</v>
      </c>
      <c r="L80" s="35">
        <v>45976</v>
      </c>
      <c r="M80" s="35"/>
      <c r="N80" s="35"/>
      <c r="O80" s="4"/>
      <c r="P80" s="6" t="s">
        <v>24</v>
      </c>
      <c r="Q80" s="251"/>
    </row>
    <row r="81" spans="1:17" x14ac:dyDescent="0.25">
      <c r="A81" s="6">
        <v>2024</v>
      </c>
      <c r="B81" s="6">
        <v>272</v>
      </c>
      <c r="C81" s="6" t="str">
        <f>B81&amp;"-24"</f>
        <v>272-24</v>
      </c>
      <c r="D81" s="6" t="s">
        <v>229</v>
      </c>
      <c r="E81" s="6" t="s">
        <v>230</v>
      </c>
      <c r="F81" s="6" t="s">
        <v>153</v>
      </c>
      <c r="G81" s="6" t="s">
        <v>20</v>
      </c>
      <c r="H81" s="6" t="s">
        <v>1486</v>
      </c>
      <c r="I81" s="315">
        <v>353.32</v>
      </c>
      <c r="J81" s="4" t="s">
        <v>1618</v>
      </c>
      <c r="K81" s="4"/>
      <c r="L81" s="35"/>
      <c r="M81" s="35"/>
      <c r="N81" s="35"/>
      <c r="O81" s="4" t="s">
        <v>1488</v>
      </c>
      <c r="P81" s="6" t="s">
        <v>54</v>
      </c>
      <c r="Q81" s="251"/>
    </row>
    <row r="82" spans="1:17" ht="14.85" customHeight="1" x14ac:dyDescent="0.25">
      <c r="A82" s="6">
        <v>2024</v>
      </c>
      <c r="B82" s="6">
        <v>273</v>
      </c>
      <c r="C82" s="6" t="str">
        <f>B82&amp;"-24"</f>
        <v>273-24</v>
      </c>
      <c r="D82" s="6" t="s">
        <v>231</v>
      </c>
      <c r="E82" s="6" t="s">
        <v>207</v>
      </c>
      <c r="F82" s="6" t="s">
        <v>208</v>
      </c>
      <c r="G82" s="6" t="s">
        <v>232</v>
      </c>
      <c r="H82" s="6"/>
      <c r="I82" s="315"/>
      <c r="J82" s="4" t="s">
        <v>1618</v>
      </c>
      <c r="K82" s="4"/>
      <c r="L82" s="35"/>
      <c r="M82" s="35"/>
      <c r="N82" s="35"/>
      <c r="O82" s="4"/>
      <c r="P82" s="6" t="s">
        <v>24</v>
      </c>
      <c r="Q82" s="251"/>
    </row>
    <row r="83" spans="1:17" ht="15" customHeight="1" x14ac:dyDescent="0.25">
      <c r="A83" s="6">
        <v>2024</v>
      </c>
      <c r="B83" s="6">
        <v>274</v>
      </c>
      <c r="C83" s="6" t="str">
        <f>B83&amp;"-24"</f>
        <v>274-24</v>
      </c>
      <c r="D83" s="6" t="s">
        <v>218</v>
      </c>
      <c r="E83" s="6" t="s">
        <v>218</v>
      </c>
      <c r="F83" s="6" t="s">
        <v>195</v>
      </c>
      <c r="G83" s="6" t="s">
        <v>233</v>
      </c>
      <c r="H83" s="6"/>
      <c r="I83" s="315">
        <v>5252.5</v>
      </c>
      <c r="J83" s="4" t="s">
        <v>1618</v>
      </c>
      <c r="K83" s="4"/>
      <c r="L83" s="35"/>
      <c r="M83" s="35"/>
      <c r="N83" s="35"/>
      <c r="O83" s="4" t="s">
        <v>1487</v>
      </c>
      <c r="P83" s="6" t="s">
        <v>54</v>
      </c>
      <c r="Q83" s="251"/>
    </row>
    <row r="84" spans="1:17" ht="15" customHeight="1" x14ac:dyDescent="0.25">
      <c r="A84" s="6">
        <v>2024</v>
      </c>
      <c r="B84" s="6">
        <v>275</v>
      </c>
      <c r="C84" s="6" t="str">
        <f>B84&amp;"-24"</f>
        <v>275-24</v>
      </c>
      <c r="D84" s="6" t="s">
        <v>234</v>
      </c>
      <c r="E84" s="6" t="s">
        <v>234</v>
      </c>
      <c r="F84" s="6" t="s">
        <v>235</v>
      </c>
      <c r="G84" s="6" t="s">
        <v>20</v>
      </c>
      <c r="H84" s="245">
        <v>202418042113</v>
      </c>
      <c r="I84" s="315">
        <v>95.04</v>
      </c>
      <c r="J84" s="4" t="s">
        <v>1622</v>
      </c>
      <c r="K84" s="4"/>
      <c r="L84" s="35"/>
      <c r="M84" s="35"/>
      <c r="N84" s="35"/>
      <c r="O84" s="4"/>
      <c r="P84" s="6" t="s">
        <v>24</v>
      </c>
      <c r="Q84" s="251"/>
    </row>
    <row r="85" spans="1:17" s="343" customFormat="1" x14ac:dyDescent="0.25">
      <c r="A85" s="8">
        <v>2024</v>
      </c>
      <c r="B85" s="8">
        <v>276</v>
      </c>
      <c r="C85" s="8" t="str">
        <f>B85&amp;"-24"</f>
        <v>276-24</v>
      </c>
      <c r="D85" s="8" t="s">
        <v>236</v>
      </c>
      <c r="E85" s="8" t="s">
        <v>226</v>
      </c>
      <c r="F85" s="8" t="s">
        <v>227</v>
      </c>
      <c r="G85" s="8" t="s">
        <v>237</v>
      </c>
      <c r="H85" s="8">
        <v>202418042119</v>
      </c>
      <c r="I85" s="340">
        <v>3608</v>
      </c>
      <c r="J85" s="4" t="s">
        <v>1622</v>
      </c>
      <c r="K85" s="9" t="s">
        <v>119</v>
      </c>
      <c r="L85" s="341"/>
      <c r="M85" s="341"/>
      <c r="N85" s="341"/>
      <c r="O85" s="9"/>
      <c r="P85" s="8" t="s">
        <v>238</v>
      </c>
      <c r="Q85" s="342"/>
    </row>
    <row r="86" spans="1:17" s="343" customFormat="1" ht="15" customHeight="1" x14ac:dyDescent="0.25">
      <c r="A86" s="8">
        <v>2024</v>
      </c>
      <c r="B86" s="8">
        <v>277</v>
      </c>
      <c r="C86" s="8" t="str">
        <f>B86&amp;"-24"</f>
        <v>277-24</v>
      </c>
      <c r="D86" s="8" t="s">
        <v>239</v>
      </c>
      <c r="E86" s="8" t="s">
        <v>230</v>
      </c>
      <c r="F86" s="8" t="s">
        <v>153</v>
      </c>
      <c r="G86" s="8" t="s">
        <v>240</v>
      </c>
      <c r="H86" s="344">
        <v>202518154799</v>
      </c>
      <c r="I86" s="340">
        <v>3038.2</v>
      </c>
      <c r="J86" s="4" t="s">
        <v>1618</v>
      </c>
      <c r="K86" s="9"/>
      <c r="L86" s="341">
        <v>45637</v>
      </c>
      <c r="M86" s="341"/>
      <c r="N86" s="341"/>
      <c r="O86" s="9" t="s">
        <v>1515</v>
      </c>
      <c r="P86" s="8" t="s">
        <v>238</v>
      </c>
      <c r="Q86" s="342"/>
    </row>
    <row r="87" spans="1:17" ht="14.85" customHeight="1" x14ac:dyDescent="0.25">
      <c r="A87" s="6">
        <v>2024</v>
      </c>
      <c r="B87" s="6">
        <v>278</v>
      </c>
      <c r="C87" s="6" t="str">
        <f>B87&amp;"-24"</f>
        <v>278-24</v>
      </c>
      <c r="D87" s="6" t="s">
        <v>241</v>
      </c>
      <c r="E87" s="6" t="s">
        <v>241</v>
      </c>
      <c r="F87" s="6" t="s">
        <v>241</v>
      </c>
      <c r="G87" s="6" t="s">
        <v>237</v>
      </c>
      <c r="H87" s="241">
        <v>202418080957</v>
      </c>
      <c r="I87" s="316">
        <v>3608</v>
      </c>
      <c r="J87" s="4" t="s">
        <v>1622</v>
      </c>
      <c r="K87" s="4" t="s">
        <v>119</v>
      </c>
      <c r="L87" s="35">
        <v>45986</v>
      </c>
      <c r="M87" s="35"/>
      <c r="N87" s="35"/>
      <c r="O87" s="4"/>
      <c r="P87" s="6" t="s">
        <v>54</v>
      </c>
      <c r="Q87" s="251"/>
    </row>
    <row r="88" spans="1:17" s="238" customFormat="1" ht="14.85" customHeight="1" x14ac:dyDescent="0.25">
      <c r="A88" s="11">
        <v>2024</v>
      </c>
      <c r="B88" s="11">
        <v>279</v>
      </c>
      <c r="C88" s="11" t="str">
        <f>B88&amp;"-24"</f>
        <v>279-24</v>
      </c>
      <c r="D88" s="11" t="s">
        <v>242</v>
      </c>
      <c r="E88" s="11" t="s">
        <v>206</v>
      </c>
      <c r="F88" s="11" t="s">
        <v>147</v>
      </c>
      <c r="G88" s="11" t="s">
        <v>243</v>
      </c>
      <c r="H88" s="11"/>
      <c r="I88" s="325"/>
      <c r="J88" s="4" t="s">
        <v>1618</v>
      </c>
      <c r="K88" s="41"/>
      <c r="L88" s="42"/>
      <c r="M88" s="42"/>
      <c r="N88" s="42"/>
      <c r="O88" s="41"/>
      <c r="P88" s="11" t="s">
        <v>54</v>
      </c>
      <c r="Q88" s="345"/>
    </row>
    <row r="89" spans="1:17" ht="15" customHeight="1" x14ac:dyDescent="0.25">
      <c r="A89" s="6">
        <v>2024</v>
      </c>
      <c r="B89" s="6">
        <v>280</v>
      </c>
      <c r="C89" s="6" t="str">
        <f>B89&amp;"-24"</f>
        <v>280-24</v>
      </c>
      <c r="D89" s="6" t="s">
        <v>211</v>
      </c>
      <c r="E89" s="6" t="s">
        <v>211</v>
      </c>
      <c r="F89" s="6" t="s">
        <v>19</v>
      </c>
      <c r="G89" s="6" t="s">
        <v>20</v>
      </c>
      <c r="H89" s="241">
        <v>202418061865</v>
      </c>
      <c r="I89" s="316">
        <v>5260</v>
      </c>
      <c r="J89" s="4" t="s">
        <v>1618</v>
      </c>
      <c r="K89" s="4"/>
      <c r="L89" s="35">
        <v>45637</v>
      </c>
      <c r="M89" s="35">
        <v>45637</v>
      </c>
      <c r="N89" s="35"/>
      <c r="O89" s="4"/>
      <c r="P89" s="6" t="s">
        <v>54</v>
      </c>
      <c r="Q89" s="251"/>
    </row>
    <row r="90" spans="1:17" x14ac:dyDescent="0.25">
      <c r="A90" s="6">
        <v>2024</v>
      </c>
      <c r="B90" s="6">
        <v>281</v>
      </c>
      <c r="C90" s="6" t="str">
        <f>B90&amp;"-24"</f>
        <v>281-24</v>
      </c>
      <c r="D90" s="6" t="s">
        <v>244</v>
      </c>
      <c r="E90" s="6" t="s">
        <v>220</v>
      </c>
      <c r="F90" s="6" t="s">
        <v>52</v>
      </c>
      <c r="G90" s="4" t="s">
        <v>245</v>
      </c>
      <c r="H90" s="6"/>
      <c r="I90" s="316">
        <v>797.5</v>
      </c>
      <c r="J90" s="4" t="s">
        <v>1618</v>
      </c>
      <c r="K90" s="4"/>
      <c r="L90" s="35">
        <v>45665</v>
      </c>
      <c r="M90" s="35"/>
      <c r="N90" s="35"/>
      <c r="O90" s="4"/>
      <c r="P90" s="6" t="s">
        <v>54</v>
      </c>
      <c r="Q90" s="251"/>
    </row>
    <row r="91" spans="1:17" ht="15" customHeight="1" x14ac:dyDescent="0.25">
      <c r="A91" s="6">
        <v>2024</v>
      </c>
      <c r="B91" s="6">
        <v>283</v>
      </c>
      <c r="C91" s="6" t="str">
        <f>B91&amp;"-24"</f>
        <v>283-24</v>
      </c>
      <c r="D91" s="6" t="s">
        <v>241</v>
      </c>
      <c r="E91" s="6" t="s">
        <v>241</v>
      </c>
      <c r="F91" s="6" t="s">
        <v>241</v>
      </c>
      <c r="G91" s="6" t="s">
        <v>20</v>
      </c>
      <c r="H91" s="241">
        <v>202418080975</v>
      </c>
      <c r="I91" s="316">
        <v>562</v>
      </c>
      <c r="J91" s="4" t="s">
        <v>1622</v>
      </c>
      <c r="K91" s="4" t="s">
        <v>119</v>
      </c>
      <c r="L91" s="35">
        <v>45626</v>
      </c>
      <c r="M91" s="35"/>
      <c r="N91" s="35"/>
      <c r="O91" s="4"/>
      <c r="P91" s="6" t="s">
        <v>54</v>
      </c>
      <c r="Q91" s="251"/>
    </row>
    <row r="92" spans="1:17" x14ac:dyDescent="0.25">
      <c r="A92" s="6">
        <v>2024</v>
      </c>
      <c r="B92" s="6">
        <v>284</v>
      </c>
      <c r="C92" s="6" t="str">
        <f>B92&amp;"-24"</f>
        <v>284-24</v>
      </c>
      <c r="D92" s="6" t="s">
        <v>216</v>
      </c>
      <c r="E92" s="6" t="s">
        <v>216</v>
      </c>
      <c r="F92" s="6" t="s">
        <v>153</v>
      </c>
      <c r="G92" s="6" t="s">
        <v>20</v>
      </c>
      <c r="H92" s="6"/>
      <c r="I92" s="315">
        <v>3316.5</v>
      </c>
      <c r="J92" s="4" t="s">
        <v>1618</v>
      </c>
      <c r="K92" s="4"/>
      <c r="L92" s="35">
        <v>45965</v>
      </c>
      <c r="M92" s="35"/>
      <c r="N92" s="35"/>
      <c r="O92" s="4"/>
      <c r="P92" s="6" t="s">
        <v>24</v>
      </c>
      <c r="Q92" s="251"/>
    </row>
    <row r="93" spans="1:17" x14ac:dyDescent="0.25">
      <c r="A93" s="6">
        <v>2024</v>
      </c>
      <c r="B93" s="6">
        <v>285</v>
      </c>
      <c r="C93" s="6" t="str">
        <f>B93&amp;"-24"</f>
        <v>285-24</v>
      </c>
      <c r="D93" s="6" t="s">
        <v>246</v>
      </c>
      <c r="E93" s="6" t="s">
        <v>246</v>
      </c>
      <c r="F93" s="6" t="s">
        <v>115</v>
      </c>
      <c r="G93" s="6" t="s">
        <v>20</v>
      </c>
      <c r="H93" s="6"/>
      <c r="I93" s="315">
        <v>327.8</v>
      </c>
      <c r="J93" s="4" t="s">
        <v>1618</v>
      </c>
      <c r="K93" s="4"/>
      <c r="L93" s="35">
        <v>45628</v>
      </c>
      <c r="M93" s="35"/>
      <c r="N93" s="35"/>
      <c r="O93" s="4"/>
      <c r="P93" s="6" t="s">
        <v>24</v>
      </c>
      <c r="Q93" s="251"/>
    </row>
    <row r="94" spans="1:17" s="343" customFormat="1" ht="15" customHeight="1" x14ac:dyDescent="0.25">
      <c r="A94" s="8">
        <v>2024</v>
      </c>
      <c r="B94" s="8">
        <v>286</v>
      </c>
      <c r="C94" s="8" t="str">
        <f>B94&amp;"-24"</f>
        <v>286-24</v>
      </c>
      <c r="D94" s="8" t="s">
        <v>247</v>
      </c>
      <c r="E94" s="8" t="s">
        <v>247</v>
      </c>
      <c r="F94" s="8" t="s">
        <v>104</v>
      </c>
      <c r="G94" s="9" t="s">
        <v>245</v>
      </c>
      <c r="H94" s="8">
        <v>202418100760</v>
      </c>
      <c r="I94" s="340">
        <v>3696</v>
      </c>
      <c r="J94" s="4" t="s">
        <v>1622</v>
      </c>
      <c r="K94" s="9" t="s">
        <v>106</v>
      </c>
      <c r="L94" s="341">
        <v>45670</v>
      </c>
      <c r="M94" s="341"/>
      <c r="N94" s="341"/>
      <c r="O94" s="9"/>
      <c r="P94" s="8" t="s">
        <v>238</v>
      </c>
      <c r="Q94" s="251"/>
    </row>
    <row r="95" spans="1:17" ht="15" customHeight="1" x14ac:dyDescent="0.25">
      <c r="A95" s="6">
        <v>2024</v>
      </c>
      <c r="B95" s="6">
        <v>287</v>
      </c>
      <c r="C95" s="6" t="str">
        <f>B95&amp;"-24"</f>
        <v>287-24</v>
      </c>
      <c r="D95" s="6" t="s">
        <v>248</v>
      </c>
      <c r="E95" s="6" t="s">
        <v>248</v>
      </c>
      <c r="F95" s="6" t="s">
        <v>101</v>
      </c>
      <c r="G95" s="6" t="s">
        <v>20</v>
      </c>
      <c r="H95" s="241"/>
      <c r="I95" s="316">
        <v>1468</v>
      </c>
      <c r="J95" s="4" t="s">
        <v>1622</v>
      </c>
      <c r="K95" s="4" t="s">
        <v>119</v>
      </c>
      <c r="L95" s="35">
        <v>45659</v>
      </c>
      <c r="M95" s="35"/>
      <c r="N95" s="35"/>
      <c r="O95" s="22" t="s">
        <v>102</v>
      </c>
      <c r="P95" s="6" t="s">
        <v>54</v>
      </c>
      <c r="Q95" s="251"/>
    </row>
    <row r="96" spans="1:17" ht="15" customHeight="1" x14ac:dyDescent="0.25">
      <c r="A96" s="6">
        <v>2024</v>
      </c>
      <c r="B96" s="6">
        <v>288</v>
      </c>
      <c r="C96" s="6" t="str">
        <f>B96&amp;"-24"</f>
        <v>288-24</v>
      </c>
      <c r="D96" s="6" t="s">
        <v>249</v>
      </c>
      <c r="E96" s="6" t="s">
        <v>249</v>
      </c>
      <c r="F96" s="6" t="s">
        <v>249</v>
      </c>
      <c r="G96" s="6" t="s">
        <v>250</v>
      </c>
      <c r="H96" s="241">
        <v>202418100758</v>
      </c>
      <c r="I96" s="316">
        <v>1487.2</v>
      </c>
      <c r="J96" s="4" t="s">
        <v>1618</v>
      </c>
      <c r="K96" s="4"/>
      <c r="L96" s="35">
        <v>45708</v>
      </c>
      <c r="M96" s="35">
        <v>45750</v>
      </c>
      <c r="N96" s="35">
        <v>45807</v>
      </c>
      <c r="O96" s="4" t="s">
        <v>251</v>
      </c>
      <c r="P96" s="6" t="s">
        <v>54</v>
      </c>
      <c r="Q96" s="251"/>
    </row>
    <row r="97" spans="1:17" ht="15" customHeight="1" x14ac:dyDescent="0.25">
      <c r="A97" s="6">
        <v>2024</v>
      </c>
      <c r="B97" s="6">
        <v>289</v>
      </c>
      <c r="C97" s="6" t="str">
        <f>B97&amp;"-24"</f>
        <v>289-24</v>
      </c>
      <c r="D97" s="6" t="s">
        <v>252</v>
      </c>
      <c r="E97" s="6" t="s">
        <v>253</v>
      </c>
      <c r="F97" s="6" t="s">
        <v>227</v>
      </c>
      <c r="G97" s="6" t="s">
        <v>20</v>
      </c>
      <c r="H97" s="241">
        <v>202418106923</v>
      </c>
      <c r="I97" s="316">
        <v>7992</v>
      </c>
      <c r="J97" s="4" t="s">
        <v>1622</v>
      </c>
      <c r="K97" s="4" t="s">
        <v>326</v>
      </c>
      <c r="L97" s="35">
        <v>45644</v>
      </c>
      <c r="M97" s="35"/>
      <c r="N97" s="35"/>
      <c r="O97" s="4"/>
      <c r="P97" s="6" t="s">
        <v>54</v>
      </c>
      <c r="Q97" s="251"/>
    </row>
    <row r="98" spans="1:17" ht="15" customHeight="1" x14ac:dyDescent="0.25">
      <c r="A98" s="6">
        <v>2024</v>
      </c>
      <c r="B98" s="6">
        <v>290</v>
      </c>
      <c r="C98" s="6" t="str">
        <f>B98&amp;"-24"</f>
        <v>290-24</v>
      </c>
      <c r="D98" s="6" t="s">
        <v>254</v>
      </c>
      <c r="E98" s="6" t="s">
        <v>115</v>
      </c>
      <c r="F98" s="6" t="s">
        <v>115</v>
      </c>
      <c r="G98" s="6" t="s">
        <v>255</v>
      </c>
      <c r="H98" s="241">
        <v>202418100863</v>
      </c>
      <c r="I98" s="316">
        <v>270.5</v>
      </c>
      <c r="J98" s="4" t="s">
        <v>1618</v>
      </c>
      <c r="K98" s="4"/>
      <c r="L98" s="35">
        <v>45635</v>
      </c>
      <c r="M98" s="35">
        <v>45648</v>
      </c>
      <c r="N98" s="35">
        <v>45687</v>
      </c>
      <c r="O98" s="4"/>
      <c r="P98" s="6" t="s">
        <v>54</v>
      </c>
      <c r="Q98" s="251"/>
    </row>
    <row r="99" spans="1:17" x14ac:dyDescent="0.25">
      <c r="A99" s="6">
        <v>2024</v>
      </c>
      <c r="B99" s="6">
        <v>291</v>
      </c>
      <c r="C99" s="6" t="str">
        <f>B99&amp;"-24"</f>
        <v>291-24</v>
      </c>
      <c r="D99" s="6" t="s">
        <v>256</v>
      </c>
      <c r="E99" s="6"/>
      <c r="F99" s="6" t="s">
        <v>153</v>
      </c>
      <c r="G99" s="6" t="s">
        <v>20</v>
      </c>
      <c r="H99" s="241">
        <v>202418100951</v>
      </c>
      <c r="I99" s="316">
        <v>1284</v>
      </c>
      <c r="J99" s="4" t="s">
        <v>1622</v>
      </c>
      <c r="K99" s="4" t="s">
        <v>119</v>
      </c>
      <c r="L99" s="35">
        <v>45638</v>
      </c>
      <c r="M99" s="35"/>
      <c r="N99" s="35"/>
      <c r="O99" s="4"/>
      <c r="P99" s="6" t="s">
        <v>54</v>
      </c>
      <c r="Q99" s="251"/>
    </row>
    <row r="100" spans="1:17" ht="15" customHeight="1" x14ac:dyDescent="0.25">
      <c r="A100" s="6">
        <v>2024</v>
      </c>
      <c r="B100" s="6">
        <v>292</v>
      </c>
      <c r="C100" s="6" t="str">
        <f>B100&amp;"-24"</f>
        <v>292-24</v>
      </c>
      <c r="D100" s="6" t="s">
        <v>257</v>
      </c>
      <c r="E100" s="6"/>
      <c r="F100" s="230" t="s">
        <v>101</v>
      </c>
      <c r="G100" s="6" t="s">
        <v>258</v>
      </c>
      <c r="H100" s="241">
        <v>202418107478</v>
      </c>
      <c r="I100" s="316">
        <v>543</v>
      </c>
      <c r="J100" s="4" t="s">
        <v>1618</v>
      </c>
      <c r="K100" s="4"/>
      <c r="L100" s="35">
        <v>45647</v>
      </c>
      <c r="M100" s="35">
        <v>45652</v>
      </c>
      <c r="N100" s="35">
        <v>45718</v>
      </c>
      <c r="O100" s="22" t="s">
        <v>102</v>
      </c>
      <c r="P100" s="6" t="s">
        <v>54</v>
      </c>
      <c r="Q100" s="251"/>
    </row>
    <row r="101" spans="1:17" ht="15" customHeight="1" x14ac:dyDescent="0.25">
      <c r="A101" s="6">
        <v>2024</v>
      </c>
      <c r="B101" s="6">
        <v>293</v>
      </c>
      <c r="C101" s="6" t="str">
        <f>B101&amp;"-24"</f>
        <v>293-24</v>
      </c>
      <c r="D101" s="6" t="s">
        <v>259</v>
      </c>
      <c r="E101" s="6"/>
      <c r="F101" s="6" t="s">
        <v>52</v>
      </c>
      <c r="G101" s="6" t="s">
        <v>260</v>
      </c>
      <c r="H101" s="241">
        <v>202418109673</v>
      </c>
      <c r="I101" s="316">
        <v>3097</v>
      </c>
      <c r="J101" s="4" t="s">
        <v>1618</v>
      </c>
      <c r="K101" s="4"/>
      <c r="L101" s="35">
        <v>45637</v>
      </c>
      <c r="M101" s="234">
        <v>45695</v>
      </c>
      <c r="N101" s="35">
        <v>45760</v>
      </c>
      <c r="O101" s="4"/>
      <c r="P101" s="6" t="s">
        <v>54</v>
      </c>
      <c r="Q101" s="251"/>
    </row>
    <row r="102" spans="1:17" ht="15" customHeight="1" x14ac:dyDescent="0.25">
      <c r="A102" s="6">
        <v>2024</v>
      </c>
      <c r="B102" s="6">
        <v>294</v>
      </c>
      <c r="C102" s="6" t="str">
        <f>B102&amp;"-24"</f>
        <v>294-24</v>
      </c>
      <c r="D102" s="6" t="s">
        <v>261</v>
      </c>
      <c r="E102" s="6"/>
      <c r="F102" s="230" t="s">
        <v>262</v>
      </c>
      <c r="G102" s="6" t="s">
        <v>263</v>
      </c>
      <c r="H102" s="241">
        <v>202518155792</v>
      </c>
      <c r="I102" s="316">
        <v>2600</v>
      </c>
      <c r="J102" s="4" t="s">
        <v>1618</v>
      </c>
      <c r="K102" s="4"/>
      <c r="L102" s="35">
        <v>45648</v>
      </c>
      <c r="M102" s="35">
        <v>45659</v>
      </c>
      <c r="N102" s="35">
        <v>45721</v>
      </c>
      <c r="O102" s="4"/>
      <c r="P102" s="6" t="s">
        <v>54</v>
      </c>
      <c r="Q102" s="251"/>
    </row>
    <row r="103" spans="1:17" x14ac:dyDescent="0.25">
      <c r="A103" s="6">
        <v>2024</v>
      </c>
      <c r="B103" s="6">
        <v>295</v>
      </c>
      <c r="C103" s="6" t="str">
        <f>B103&amp;"-24"</f>
        <v>295-24</v>
      </c>
      <c r="D103" s="6" t="s">
        <v>264</v>
      </c>
      <c r="E103" s="6"/>
      <c r="F103" s="6" t="s">
        <v>265</v>
      </c>
      <c r="G103" s="6" t="s">
        <v>266</v>
      </c>
      <c r="H103" s="241">
        <v>202418139224</v>
      </c>
      <c r="I103" s="316">
        <v>470</v>
      </c>
      <c r="J103" s="4" t="s">
        <v>1622</v>
      </c>
      <c r="K103" s="4" t="s">
        <v>119</v>
      </c>
      <c r="L103" s="35">
        <v>45649</v>
      </c>
      <c r="M103" s="35"/>
      <c r="N103" s="35"/>
      <c r="O103" s="4"/>
      <c r="P103" s="6" t="s">
        <v>54</v>
      </c>
      <c r="Q103" s="251"/>
    </row>
    <row r="104" spans="1:17" x14ac:dyDescent="0.25">
      <c r="A104" s="6">
        <v>2024</v>
      </c>
      <c r="B104" s="6">
        <v>296</v>
      </c>
      <c r="C104" s="6" t="str">
        <f>B104&amp;"-24"</f>
        <v>296-24</v>
      </c>
      <c r="D104" s="6" t="s">
        <v>267</v>
      </c>
      <c r="E104" s="6"/>
      <c r="F104" s="6" t="s">
        <v>268</v>
      </c>
      <c r="G104" s="6" t="s">
        <v>269</v>
      </c>
      <c r="H104" s="241">
        <v>202418139225</v>
      </c>
      <c r="I104" s="316">
        <v>173.8</v>
      </c>
      <c r="J104" s="4" t="s">
        <v>1618</v>
      </c>
      <c r="K104" s="4"/>
      <c r="L104" s="35">
        <v>45649</v>
      </c>
      <c r="M104" s="35">
        <v>45438</v>
      </c>
      <c r="N104" s="35"/>
      <c r="O104" s="4"/>
      <c r="P104" s="6" t="s">
        <v>54</v>
      </c>
      <c r="Q104" s="251"/>
    </row>
    <row r="105" spans="1:17" ht="15" customHeight="1" x14ac:dyDescent="0.25">
      <c r="A105" s="6">
        <v>2024</v>
      </c>
      <c r="B105" s="6">
        <v>297</v>
      </c>
      <c r="C105" s="6" t="str">
        <f>B105&amp;"-24"</f>
        <v>297-24</v>
      </c>
      <c r="D105" s="6" t="s">
        <v>270</v>
      </c>
      <c r="E105" s="6"/>
      <c r="F105" s="6" t="s">
        <v>118</v>
      </c>
      <c r="G105" s="6"/>
      <c r="H105" s="6"/>
      <c r="I105" s="315"/>
      <c r="J105" s="4" t="s">
        <v>1611</v>
      </c>
      <c r="K105" s="4"/>
      <c r="L105" s="35">
        <v>45649</v>
      </c>
      <c r="M105" s="35"/>
      <c r="N105" s="35"/>
      <c r="O105" s="4"/>
      <c r="P105" s="6" t="s">
        <v>24</v>
      </c>
      <c r="Q105" s="251" t="s">
        <v>1604</v>
      </c>
    </row>
    <row r="106" spans="1:17" ht="15" customHeight="1" x14ac:dyDescent="0.25">
      <c r="A106" s="6">
        <v>2024</v>
      </c>
      <c r="B106" s="6">
        <v>298</v>
      </c>
      <c r="C106" s="6" t="str">
        <f>B106&amp;"-24"</f>
        <v>298-24</v>
      </c>
      <c r="D106" s="6" t="s">
        <v>271</v>
      </c>
      <c r="E106" s="6"/>
      <c r="F106" s="6" t="s">
        <v>262</v>
      </c>
      <c r="G106" s="6" t="s">
        <v>312</v>
      </c>
      <c r="H106" s="6"/>
      <c r="I106" s="315"/>
      <c r="J106" s="4" t="s">
        <v>1622</v>
      </c>
      <c r="K106" s="4" t="s">
        <v>106</v>
      </c>
      <c r="L106" s="35"/>
      <c r="M106" s="35"/>
      <c r="N106" s="35"/>
      <c r="O106" s="4"/>
      <c r="P106" s="6" t="s">
        <v>24</v>
      </c>
      <c r="Q106" s="251"/>
    </row>
    <row r="107" spans="1:17" x14ac:dyDescent="0.25">
      <c r="A107" s="6">
        <v>2024</v>
      </c>
      <c r="B107" s="6">
        <v>299</v>
      </c>
      <c r="C107" s="6" t="str">
        <f>B107&amp;"-24"</f>
        <v>299-24</v>
      </c>
      <c r="D107" s="6" t="s">
        <v>272</v>
      </c>
      <c r="E107" s="6"/>
      <c r="F107" s="6" t="s">
        <v>262</v>
      </c>
      <c r="G107" s="6"/>
      <c r="H107" s="6"/>
      <c r="I107" s="315">
        <v>10392</v>
      </c>
      <c r="J107" s="4" t="s">
        <v>1611</v>
      </c>
      <c r="K107" s="4"/>
      <c r="L107" s="35">
        <v>45711</v>
      </c>
      <c r="M107" s="35"/>
      <c r="N107" s="35"/>
      <c r="O107" s="4"/>
      <c r="P107" s="6" t="s">
        <v>24</v>
      </c>
      <c r="Q107" s="251" t="s">
        <v>1604</v>
      </c>
    </row>
    <row r="108" spans="1:17" x14ac:dyDescent="0.25">
      <c r="A108" s="6">
        <v>2024</v>
      </c>
      <c r="B108" s="6">
        <v>300</v>
      </c>
      <c r="C108" s="6" t="str">
        <f>B108&amp;"-24"</f>
        <v>300-24</v>
      </c>
      <c r="D108" s="6" t="s">
        <v>273</v>
      </c>
      <c r="E108" s="6" t="s">
        <v>273</v>
      </c>
      <c r="F108" s="6" t="s">
        <v>57</v>
      </c>
      <c r="G108" s="6" t="s">
        <v>274</v>
      </c>
      <c r="H108" s="241">
        <v>202418143252</v>
      </c>
      <c r="I108" s="316">
        <v>22828.3</v>
      </c>
      <c r="J108" s="4" t="s">
        <v>1622</v>
      </c>
      <c r="K108" s="4" t="s">
        <v>22</v>
      </c>
      <c r="L108" s="35">
        <v>45655</v>
      </c>
      <c r="M108" s="35"/>
      <c r="N108" s="35"/>
      <c r="O108" s="4"/>
      <c r="P108" s="6" t="s">
        <v>54</v>
      </c>
      <c r="Q108" s="251"/>
    </row>
    <row r="109" spans="1:17" x14ac:dyDescent="0.25">
      <c r="A109" s="6">
        <v>2024</v>
      </c>
      <c r="B109" s="6">
        <v>301</v>
      </c>
      <c r="C109" s="6" t="str">
        <f>B109&amp;"-24"</f>
        <v>301-24</v>
      </c>
      <c r="D109" s="6" t="s">
        <v>211</v>
      </c>
      <c r="E109" s="6" t="s">
        <v>211</v>
      </c>
      <c r="F109" s="6" t="s">
        <v>19</v>
      </c>
      <c r="G109" s="6" t="s">
        <v>275</v>
      </c>
      <c r="H109" s="241">
        <v>202518253885</v>
      </c>
      <c r="I109" s="316">
        <v>1548.69</v>
      </c>
      <c r="J109" s="4" t="s">
        <v>1618</v>
      </c>
      <c r="K109" s="4"/>
      <c r="L109" s="35">
        <v>45652</v>
      </c>
      <c r="M109" s="35">
        <v>45664</v>
      </c>
      <c r="N109" s="35">
        <v>45352</v>
      </c>
      <c r="O109" s="4"/>
      <c r="P109" s="6" t="s">
        <v>54</v>
      </c>
      <c r="Q109" s="251"/>
    </row>
    <row r="110" spans="1:17" ht="15" customHeight="1" x14ac:dyDescent="0.25">
      <c r="A110" s="6">
        <v>2024</v>
      </c>
      <c r="B110" s="6">
        <v>302</v>
      </c>
      <c r="C110" s="6" t="str">
        <f>B110&amp;"-24"</f>
        <v>302-24</v>
      </c>
      <c r="D110" s="6" t="s">
        <v>211</v>
      </c>
      <c r="E110" s="6" t="s">
        <v>211</v>
      </c>
      <c r="F110" s="6" t="s">
        <v>19</v>
      </c>
      <c r="G110" s="6" t="s">
        <v>275</v>
      </c>
      <c r="H110" s="241">
        <v>202518278208</v>
      </c>
      <c r="I110" s="316">
        <v>550</v>
      </c>
      <c r="J110" s="4" t="s">
        <v>1618</v>
      </c>
      <c r="K110" s="4"/>
      <c r="L110" s="35">
        <v>45652</v>
      </c>
      <c r="M110" s="35">
        <v>45673</v>
      </c>
      <c r="N110" s="35">
        <v>45352</v>
      </c>
      <c r="O110" s="4"/>
      <c r="P110" s="6" t="s">
        <v>54</v>
      </c>
      <c r="Q110" s="251"/>
    </row>
    <row r="111" spans="1:17" x14ac:dyDescent="0.25">
      <c r="A111" s="6">
        <v>2024</v>
      </c>
      <c r="B111" s="6">
        <v>303</v>
      </c>
      <c r="C111" s="6" t="str">
        <f>B111&amp;"-24"</f>
        <v>303-24</v>
      </c>
      <c r="D111" s="6" t="s">
        <v>230</v>
      </c>
      <c r="E111" s="6"/>
      <c r="F111" s="6" t="s">
        <v>153</v>
      </c>
      <c r="G111" s="6"/>
      <c r="H111" s="6"/>
      <c r="I111" s="315">
        <v>2563</v>
      </c>
      <c r="J111" s="4" t="s">
        <v>1618</v>
      </c>
      <c r="K111" s="4"/>
      <c r="L111" s="35"/>
      <c r="M111" s="35"/>
      <c r="N111" s="35"/>
      <c r="O111" s="4"/>
      <c r="P111" s="6" t="s">
        <v>24</v>
      </c>
      <c r="Q111" s="251"/>
    </row>
    <row r="112" spans="1:17" x14ac:dyDescent="0.25">
      <c r="A112" s="6">
        <v>2024</v>
      </c>
      <c r="B112" s="6">
        <v>304</v>
      </c>
      <c r="C112" s="6" t="str">
        <f>B112&amp;"-24"</f>
        <v>304-24</v>
      </c>
      <c r="D112" s="6" t="s">
        <v>276</v>
      </c>
      <c r="E112" s="6" t="s">
        <v>277</v>
      </c>
      <c r="F112" s="230" t="s">
        <v>132</v>
      </c>
      <c r="G112" s="6" t="s">
        <v>278</v>
      </c>
      <c r="H112" s="6">
        <v>2005158269</v>
      </c>
      <c r="I112" s="316">
        <v>1549.9</v>
      </c>
      <c r="J112" s="4" t="s">
        <v>1618</v>
      </c>
      <c r="K112" s="4"/>
      <c r="L112" s="35">
        <v>45666</v>
      </c>
      <c r="M112" s="35">
        <v>45670</v>
      </c>
      <c r="N112" s="35">
        <v>45356</v>
      </c>
      <c r="O112" s="22" t="s">
        <v>133</v>
      </c>
      <c r="P112" s="6" t="s">
        <v>54</v>
      </c>
      <c r="Q112" s="251"/>
    </row>
    <row r="113" spans="1:18" ht="15" customHeight="1" x14ac:dyDescent="0.25">
      <c r="A113" s="6">
        <v>2025</v>
      </c>
      <c r="B113" s="6">
        <v>1</v>
      </c>
      <c r="C113" s="6" t="str">
        <f>B113&amp;"-25"</f>
        <v>1-25</v>
      </c>
      <c r="D113" s="11">
        <v>1</v>
      </c>
      <c r="E113" s="12" t="s">
        <v>279</v>
      </c>
      <c r="F113" s="12" t="s">
        <v>33</v>
      </c>
      <c r="G113" s="12" t="s">
        <v>296</v>
      </c>
      <c r="H113" s="246"/>
      <c r="I113" s="321"/>
      <c r="J113" s="4" t="s">
        <v>1611</v>
      </c>
      <c r="K113" s="39"/>
      <c r="L113" s="40">
        <v>46021</v>
      </c>
      <c r="M113" s="40"/>
      <c r="N113" s="40"/>
      <c r="O113" s="39"/>
      <c r="P113" s="11" t="s">
        <v>24</v>
      </c>
      <c r="Q113" s="251" t="s">
        <v>1602</v>
      </c>
    </row>
    <row r="114" spans="1:18" x14ac:dyDescent="0.25">
      <c r="A114" s="6">
        <v>2025</v>
      </c>
      <c r="B114" s="6">
        <v>2</v>
      </c>
      <c r="C114" s="6" t="str">
        <f>B114&amp;"-25"</f>
        <v>2-25</v>
      </c>
      <c r="D114" s="6" t="s">
        <v>280</v>
      </c>
      <c r="E114" s="6" t="s">
        <v>281</v>
      </c>
      <c r="F114" s="6" t="s">
        <v>27</v>
      </c>
      <c r="G114" s="6" t="s">
        <v>282</v>
      </c>
      <c r="H114" s="247">
        <v>3009415129</v>
      </c>
      <c r="I114" s="316">
        <v>1409</v>
      </c>
      <c r="J114" s="4" t="s">
        <v>1618</v>
      </c>
      <c r="K114" s="22"/>
      <c r="L114" s="36">
        <v>45664</v>
      </c>
      <c r="M114" s="36">
        <v>45671</v>
      </c>
      <c r="N114" s="36">
        <v>45691</v>
      </c>
      <c r="O114" s="22" t="s">
        <v>49</v>
      </c>
      <c r="P114" s="6" t="s">
        <v>238</v>
      </c>
      <c r="Q114" s="6"/>
    </row>
    <row r="115" spans="1:18" s="237" customFormat="1" ht="15" customHeight="1" x14ac:dyDescent="0.25">
      <c r="A115" s="6">
        <v>2025</v>
      </c>
      <c r="B115" s="6">
        <v>3</v>
      </c>
      <c r="C115" s="6" t="str">
        <f>B115&amp;"-25"</f>
        <v>3-25</v>
      </c>
      <c r="D115" s="6">
        <v>3</v>
      </c>
      <c r="E115" s="6" t="s">
        <v>283</v>
      </c>
      <c r="F115" s="6" t="s">
        <v>19</v>
      </c>
      <c r="G115" s="6" t="s">
        <v>284</v>
      </c>
      <c r="H115" s="247"/>
      <c r="I115" s="330"/>
      <c r="J115" s="4" t="s">
        <v>1622</v>
      </c>
      <c r="K115" s="4" t="s">
        <v>285</v>
      </c>
      <c r="L115" s="35"/>
      <c r="M115" s="35"/>
      <c r="N115" s="35"/>
      <c r="O115" s="22" t="s">
        <v>49</v>
      </c>
      <c r="P115" s="6" t="s">
        <v>54</v>
      </c>
      <c r="Q115" s="251"/>
      <c r="R115" s="82"/>
    </row>
    <row r="116" spans="1:18" ht="15" customHeight="1" x14ac:dyDescent="0.25">
      <c r="A116" s="6">
        <v>2025</v>
      </c>
      <c r="B116" s="6">
        <v>4</v>
      </c>
      <c r="C116" s="6" t="str">
        <f>B116&amp;"-25"</f>
        <v>4-25</v>
      </c>
      <c r="D116" s="6" t="s">
        <v>286</v>
      </c>
      <c r="E116" s="6" t="s">
        <v>287</v>
      </c>
      <c r="F116" s="6" t="s">
        <v>288</v>
      </c>
      <c r="G116" s="6" t="s">
        <v>289</v>
      </c>
      <c r="H116" s="247">
        <v>202518156831</v>
      </c>
      <c r="I116" s="316">
        <v>396</v>
      </c>
      <c r="J116" s="4" t="s">
        <v>1618</v>
      </c>
      <c r="K116" s="22"/>
      <c r="L116" s="36">
        <v>45663</v>
      </c>
      <c r="M116" s="36">
        <v>45669</v>
      </c>
      <c r="N116" s="35">
        <v>45363</v>
      </c>
      <c r="O116" s="22" t="s">
        <v>290</v>
      </c>
      <c r="P116" s="6" t="s">
        <v>54</v>
      </c>
      <c r="Q116" s="6"/>
    </row>
    <row r="117" spans="1:18" ht="15" customHeight="1" x14ac:dyDescent="0.25">
      <c r="A117" s="6">
        <v>2025</v>
      </c>
      <c r="B117" s="6">
        <v>5</v>
      </c>
      <c r="C117" s="6" t="str">
        <f>B117&amp;"-25"</f>
        <v>5-25</v>
      </c>
      <c r="D117" s="6">
        <v>5</v>
      </c>
      <c r="E117" s="6" t="s">
        <v>291</v>
      </c>
      <c r="F117" s="6" t="s">
        <v>153</v>
      </c>
      <c r="G117" s="6" t="s">
        <v>292</v>
      </c>
      <c r="H117" s="247">
        <v>2005166164</v>
      </c>
      <c r="I117" s="316">
        <v>14011</v>
      </c>
      <c r="J117" s="4" t="s">
        <v>1618</v>
      </c>
      <c r="K117" s="22"/>
      <c r="L117" s="311">
        <v>45663</v>
      </c>
      <c r="M117" s="6"/>
      <c r="N117" s="36"/>
      <c r="O117" s="22" t="s">
        <v>49</v>
      </c>
      <c r="P117" s="6" t="s">
        <v>238</v>
      </c>
      <c r="Q117" s="251"/>
    </row>
    <row r="118" spans="1:18" ht="15" customHeight="1" x14ac:dyDescent="0.25">
      <c r="A118" s="6">
        <v>2025</v>
      </c>
      <c r="B118" s="6">
        <v>6</v>
      </c>
      <c r="C118" s="6" t="str">
        <f>B118&amp;"-25"</f>
        <v>6-25</v>
      </c>
      <c r="D118" s="6">
        <v>6</v>
      </c>
      <c r="E118" s="230" t="s">
        <v>293</v>
      </c>
      <c r="F118" s="6" t="s">
        <v>153</v>
      </c>
      <c r="G118" s="6" t="s">
        <v>294</v>
      </c>
      <c r="H118" s="247">
        <v>3009415495</v>
      </c>
      <c r="I118" s="316">
        <v>3000</v>
      </c>
      <c r="J118" s="4" t="s">
        <v>1622</v>
      </c>
      <c r="K118" s="22"/>
      <c r="L118" s="36">
        <v>45670</v>
      </c>
      <c r="M118" s="34">
        <v>45677</v>
      </c>
      <c r="N118" s="36">
        <v>45684</v>
      </c>
      <c r="O118" s="22" t="s">
        <v>49</v>
      </c>
      <c r="P118" s="6" t="s">
        <v>238</v>
      </c>
      <c r="Q118" s="6"/>
    </row>
    <row r="119" spans="1:18" x14ac:dyDescent="0.25">
      <c r="A119" s="6">
        <v>2025</v>
      </c>
      <c r="B119" s="6">
        <v>7</v>
      </c>
      <c r="C119" s="6" t="str">
        <f>B119&amp;"-25"</f>
        <v>7-25</v>
      </c>
      <c r="D119" s="6">
        <v>7</v>
      </c>
      <c r="E119" s="231" t="s">
        <v>295</v>
      </c>
      <c r="F119" s="4" t="s">
        <v>27</v>
      </c>
      <c r="G119" s="6" t="s">
        <v>296</v>
      </c>
      <c r="H119" s="241">
        <v>2005159387</v>
      </c>
      <c r="I119" s="318">
        <v>1016.84</v>
      </c>
      <c r="J119" s="4" t="s">
        <v>1618</v>
      </c>
      <c r="K119" s="4"/>
      <c r="L119" s="35"/>
      <c r="M119" s="35"/>
      <c r="N119" s="35"/>
      <c r="O119" s="275" t="s">
        <v>49</v>
      </c>
      <c r="P119" s="6" t="s">
        <v>238</v>
      </c>
      <c r="Q119" s="251"/>
    </row>
    <row r="120" spans="1:18" x14ac:dyDescent="0.25">
      <c r="A120" s="6">
        <v>2025</v>
      </c>
      <c r="B120" s="6">
        <v>8</v>
      </c>
      <c r="C120" s="6" t="str">
        <f>B120&amp;"-25"</f>
        <v>8-25</v>
      </c>
      <c r="D120" s="6" t="s">
        <v>297</v>
      </c>
      <c r="E120" s="230"/>
      <c r="F120" s="230" t="s">
        <v>101</v>
      </c>
      <c r="G120" s="251" t="s">
        <v>298</v>
      </c>
      <c r="H120" s="250"/>
      <c r="I120" s="317"/>
      <c r="J120" s="4" t="s">
        <v>1622</v>
      </c>
      <c r="K120" s="3" t="s">
        <v>285</v>
      </c>
      <c r="L120" s="35"/>
      <c r="M120" s="35"/>
      <c r="N120" s="35"/>
      <c r="O120" s="22" t="s">
        <v>102</v>
      </c>
      <c r="P120" s="6" t="s">
        <v>54</v>
      </c>
      <c r="Q120" s="251"/>
    </row>
    <row r="121" spans="1:18" s="237" customFormat="1" x14ac:dyDescent="0.25">
      <c r="A121" s="6">
        <v>2025</v>
      </c>
      <c r="B121" s="6">
        <v>9</v>
      </c>
      <c r="C121" s="6" t="str">
        <f>B121&amp;"-25"</f>
        <v>9-25</v>
      </c>
      <c r="D121" s="6" t="s">
        <v>299</v>
      </c>
      <c r="E121" s="6" t="s">
        <v>300</v>
      </c>
      <c r="F121" s="6" t="s">
        <v>74</v>
      </c>
      <c r="G121" s="6" t="s">
        <v>296</v>
      </c>
      <c r="H121" s="247">
        <v>202518181073</v>
      </c>
      <c r="I121" s="316">
        <v>1666.5</v>
      </c>
      <c r="J121" s="4" t="s">
        <v>1622</v>
      </c>
      <c r="K121" s="4" t="s">
        <v>285</v>
      </c>
      <c r="L121" s="35">
        <v>45671</v>
      </c>
      <c r="M121" s="35"/>
      <c r="N121" s="35"/>
      <c r="O121" s="4" t="s">
        <v>58</v>
      </c>
      <c r="P121" s="6" t="s">
        <v>54</v>
      </c>
      <c r="Q121" s="6"/>
      <c r="R121" s="82"/>
    </row>
    <row r="122" spans="1:18" x14ac:dyDescent="0.25">
      <c r="A122" s="6">
        <v>2025</v>
      </c>
      <c r="B122" s="6">
        <v>10</v>
      </c>
      <c r="C122" s="6" t="str">
        <f>B122&amp;"-25"</f>
        <v>10-25</v>
      </c>
      <c r="D122" s="6" t="s">
        <v>301</v>
      </c>
      <c r="E122" s="6" t="s">
        <v>302</v>
      </c>
      <c r="F122" s="6" t="s">
        <v>153</v>
      </c>
      <c r="G122" s="6" t="s">
        <v>296</v>
      </c>
      <c r="H122" s="6">
        <v>2005159529</v>
      </c>
      <c r="I122" s="330">
        <v>912.29</v>
      </c>
      <c r="J122" s="4" t="s">
        <v>1618</v>
      </c>
      <c r="K122" s="229"/>
      <c r="L122" s="35">
        <v>45672</v>
      </c>
      <c r="M122" s="22"/>
      <c r="N122" s="248"/>
      <c r="O122" s="275" t="s">
        <v>49</v>
      </c>
      <c r="P122" s="36" t="s">
        <v>238</v>
      </c>
      <c r="Q122" s="6"/>
    </row>
    <row r="123" spans="1:18" x14ac:dyDescent="0.25">
      <c r="A123" s="6">
        <v>2025</v>
      </c>
      <c r="B123" s="6">
        <v>11</v>
      </c>
      <c r="C123" s="6" t="str">
        <f>B123&amp;"-25"</f>
        <v>11-25</v>
      </c>
      <c r="D123" s="6" t="s">
        <v>303</v>
      </c>
      <c r="E123" s="6" t="s">
        <v>304</v>
      </c>
      <c r="F123" s="6" t="s">
        <v>104</v>
      </c>
      <c r="G123" s="6" t="s">
        <v>289</v>
      </c>
      <c r="H123" s="6">
        <v>2005161975</v>
      </c>
      <c r="I123" s="330"/>
      <c r="J123" s="4" t="s">
        <v>1618</v>
      </c>
      <c r="K123" s="229"/>
      <c r="L123" s="35">
        <v>45665</v>
      </c>
      <c r="M123" s="22"/>
      <c r="N123" s="248"/>
      <c r="O123" s="275" t="s">
        <v>49</v>
      </c>
      <c r="P123" s="36" t="s">
        <v>238</v>
      </c>
      <c r="Q123" s="251"/>
    </row>
    <row r="124" spans="1:18" s="343" customFormat="1" x14ac:dyDescent="0.25">
      <c r="A124" s="8">
        <v>2025</v>
      </c>
      <c r="B124" s="8">
        <v>12</v>
      </c>
      <c r="C124" s="8" t="str">
        <f>B124&amp;"-25"</f>
        <v>12-25</v>
      </c>
      <c r="D124" s="8" t="s">
        <v>305</v>
      </c>
      <c r="E124" s="8" t="s">
        <v>302</v>
      </c>
      <c r="F124" s="8" t="s">
        <v>153</v>
      </c>
      <c r="G124" s="8" t="s">
        <v>20</v>
      </c>
      <c r="H124" s="346">
        <v>2005159647</v>
      </c>
      <c r="I124" s="347">
        <v>1500.34</v>
      </c>
      <c r="J124" s="4" t="s">
        <v>1622</v>
      </c>
      <c r="K124" s="9" t="s">
        <v>798</v>
      </c>
      <c r="L124" s="341">
        <v>45673</v>
      </c>
      <c r="M124" s="341"/>
      <c r="N124" s="341"/>
      <c r="O124" s="9"/>
      <c r="P124" s="8" t="s">
        <v>238</v>
      </c>
      <c r="Q124" s="251"/>
    </row>
    <row r="125" spans="1:18" s="343" customFormat="1" ht="14.85" customHeight="1" x14ac:dyDescent="0.25">
      <c r="A125" s="8">
        <v>2025</v>
      </c>
      <c r="B125" s="8">
        <v>13</v>
      </c>
      <c r="C125" s="8" t="str">
        <f>B125&amp;"-25"</f>
        <v>13-25</v>
      </c>
      <c r="D125" s="8" t="s">
        <v>306</v>
      </c>
      <c r="E125" s="8" t="s">
        <v>307</v>
      </c>
      <c r="F125" s="8" t="s">
        <v>153</v>
      </c>
      <c r="G125" s="8" t="s">
        <v>20</v>
      </c>
      <c r="H125" s="348">
        <v>2005159634</v>
      </c>
      <c r="I125" s="347">
        <v>2105.15</v>
      </c>
      <c r="J125" s="4" t="s">
        <v>1622</v>
      </c>
      <c r="K125" s="349" t="s">
        <v>798</v>
      </c>
      <c r="L125" s="341">
        <v>45673</v>
      </c>
      <c r="M125" s="350"/>
      <c r="N125" s="350"/>
      <c r="O125" s="349"/>
      <c r="P125" s="8" t="s">
        <v>238</v>
      </c>
      <c r="Q125" s="251"/>
    </row>
    <row r="126" spans="1:18" ht="15" customHeight="1" x14ac:dyDescent="0.25">
      <c r="A126" s="6">
        <v>2025</v>
      </c>
      <c r="B126" s="6">
        <v>14</v>
      </c>
      <c r="C126" s="6" t="str">
        <f>B126&amp;"-25"</f>
        <v>14-25</v>
      </c>
      <c r="D126" s="6" t="s">
        <v>308</v>
      </c>
      <c r="E126" s="6" t="s">
        <v>309</v>
      </c>
      <c r="F126" s="6" t="s">
        <v>310</v>
      </c>
      <c r="G126" s="6" t="s">
        <v>311</v>
      </c>
      <c r="H126" s="247" t="s">
        <v>312</v>
      </c>
      <c r="I126" s="330"/>
      <c r="J126" s="4" t="s">
        <v>1622</v>
      </c>
      <c r="K126" s="6" t="s">
        <v>22</v>
      </c>
      <c r="L126" s="248" t="s">
        <v>313</v>
      </c>
      <c r="M126" s="6"/>
      <c r="N126" s="6"/>
      <c r="O126" s="22" t="s">
        <v>133</v>
      </c>
      <c r="P126" s="6" t="s">
        <v>54</v>
      </c>
      <c r="Q126" s="251"/>
    </row>
    <row r="127" spans="1:18" x14ac:dyDescent="0.25">
      <c r="A127" s="6">
        <v>2025</v>
      </c>
      <c r="B127" s="6">
        <v>15</v>
      </c>
      <c r="C127" s="6" t="str">
        <f>B127&amp;"-25"</f>
        <v>15-25</v>
      </c>
      <c r="D127" s="6" t="s">
        <v>314</v>
      </c>
      <c r="E127" s="6" t="s">
        <v>315</v>
      </c>
      <c r="F127" s="6" t="s">
        <v>67</v>
      </c>
      <c r="G127" s="6" t="s">
        <v>289</v>
      </c>
      <c r="H127" s="247">
        <v>2005160074</v>
      </c>
      <c r="I127" s="317">
        <v>2939</v>
      </c>
      <c r="J127" s="4" t="s">
        <v>1618</v>
      </c>
      <c r="K127" s="3"/>
      <c r="L127" s="34">
        <v>45678</v>
      </c>
      <c r="M127" s="34">
        <v>45680</v>
      </c>
      <c r="N127" s="36">
        <v>45669</v>
      </c>
      <c r="O127" s="275" t="s">
        <v>133</v>
      </c>
      <c r="P127" s="6" t="s">
        <v>238</v>
      </c>
      <c r="Q127" s="251"/>
    </row>
    <row r="128" spans="1:18" x14ac:dyDescent="0.25">
      <c r="A128" s="6">
        <v>2025</v>
      </c>
      <c r="B128" s="6">
        <v>16</v>
      </c>
      <c r="C128" s="6" t="str">
        <f>B128&amp;"-25"</f>
        <v>16-25</v>
      </c>
      <c r="D128" s="11" t="s">
        <v>316</v>
      </c>
      <c r="E128" s="12" t="s">
        <v>317</v>
      </c>
      <c r="F128" s="12" t="s">
        <v>318</v>
      </c>
      <c r="G128" s="12" t="s">
        <v>319</v>
      </c>
      <c r="H128" s="246"/>
      <c r="I128" s="321"/>
      <c r="J128" s="4" t="s">
        <v>1622</v>
      </c>
      <c r="K128" s="41" t="s">
        <v>106</v>
      </c>
      <c r="L128" s="42"/>
      <c r="M128" s="42"/>
      <c r="N128" s="42"/>
      <c r="O128" s="39"/>
      <c r="P128" s="11" t="s">
        <v>24</v>
      </c>
      <c r="Q128" s="251"/>
    </row>
    <row r="129" spans="1:18" s="237" customFormat="1" ht="15" customHeight="1" x14ac:dyDescent="0.25">
      <c r="A129" s="6">
        <v>2025</v>
      </c>
      <c r="B129" s="6">
        <v>17</v>
      </c>
      <c r="C129" s="6" t="str">
        <f>B129&amp;"-25"</f>
        <v>17-25</v>
      </c>
      <c r="D129" s="6" t="s">
        <v>320</v>
      </c>
      <c r="E129" s="6" t="s">
        <v>321</v>
      </c>
      <c r="F129" s="6" t="s">
        <v>147</v>
      </c>
      <c r="G129" s="6" t="s">
        <v>20</v>
      </c>
      <c r="H129" s="247">
        <v>202518222477</v>
      </c>
      <c r="I129" s="317">
        <v>15588.1</v>
      </c>
      <c r="J129" s="4" t="s">
        <v>1622</v>
      </c>
      <c r="K129" s="6" t="s">
        <v>119</v>
      </c>
      <c r="L129" s="248">
        <v>45683</v>
      </c>
      <c r="M129" s="6"/>
      <c r="N129" s="6"/>
      <c r="O129" s="22" t="s">
        <v>133</v>
      </c>
      <c r="P129" s="6" t="s">
        <v>54</v>
      </c>
      <c r="Q129" s="251"/>
      <c r="R129" s="82"/>
    </row>
    <row r="130" spans="1:18" ht="14.45" customHeight="1" x14ac:dyDescent="0.25">
      <c r="A130" s="6">
        <v>2025</v>
      </c>
      <c r="B130" s="6">
        <v>18</v>
      </c>
      <c r="C130" s="6" t="str">
        <f>B130&amp;"-25"</f>
        <v>18-25</v>
      </c>
      <c r="D130" s="6" t="s">
        <v>322</v>
      </c>
      <c r="E130" s="230" t="s">
        <v>323</v>
      </c>
      <c r="F130" s="230" t="s">
        <v>324</v>
      </c>
      <c r="G130" s="6" t="s">
        <v>325</v>
      </c>
      <c r="H130" s="247"/>
      <c r="I130" s="316"/>
      <c r="J130" s="4" t="s">
        <v>1622</v>
      </c>
      <c r="K130" s="3" t="s">
        <v>326</v>
      </c>
      <c r="L130" s="248"/>
      <c r="M130" s="35"/>
      <c r="N130" s="35"/>
      <c r="O130" s="22" t="s">
        <v>133</v>
      </c>
      <c r="P130" s="6" t="s">
        <v>54</v>
      </c>
      <c r="Q130" s="251"/>
    </row>
    <row r="131" spans="1:18" ht="15" customHeight="1" x14ac:dyDescent="0.25">
      <c r="A131" s="6">
        <v>2025</v>
      </c>
      <c r="B131" s="6">
        <v>19</v>
      </c>
      <c r="C131" s="6" t="str">
        <f>B131&amp;"-25"</f>
        <v>19-25</v>
      </c>
      <c r="D131" s="6" t="s">
        <v>327</v>
      </c>
      <c r="E131" s="230" t="s">
        <v>328</v>
      </c>
      <c r="F131" s="6" t="s">
        <v>85</v>
      </c>
      <c r="G131" s="6" t="s">
        <v>20</v>
      </c>
      <c r="H131" s="241">
        <v>202518222465</v>
      </c>
      <c r="I131" s="317">
        <v>7570.2</v>
      </c>
      <c r="J131" s="4" t="s">
        <v>1611</v>
      </c>
      <c r="K131" s="3"/>
      <c r="L131" s="386">
        <v>45682</v>
      </c>
      <c r="M131" s="260"/>
      <c r="N131" s="260"/>
      <c r="O131" s="22" t="s">
        <v>49</v>
      </c>
      <c r="P131" s="6" t="s">
        <v>54</v>
      </c>
      <c r="Q131" s="251"/>
    </row>
    <row r="132" spans="1:18" ht="15" customHeight="1" x14ac:dyDescent="0.25">
      <c r="A132" s="6">
        <v>2025</v>
      </c>
      <c r="B132" s="6">
        <v>20</v>
      </c>
      <c r="C132" s="6" t="str">
        <f>B132&amp;"-25"</f>
        <v>20-25</v>
      </c>
      <c r="D132" s="6" t="s">
        <v>329</v>
      </c>
      <c r="E132" s="230" t="s">
        <v>330</v>
      </c>
      <c r="F132" s="6" t="s">
        <v>85</v>
      </c>
      <c r="G132" s="6" t="s">
        <v>20</v>
      </c>
      <c r="H132" s="241">
        <v>202518243746</v>
      </c>
      <c r="I132" s="316">
        <v>20861.099999999999</v>
      </c>
      <c r="J132" s="4" t="s">
        <v>1611</v>
      </c>
      <c r="K132" s="4"/>
      <c r="L132" s="386">
        <v>45690</v>
      </c>
      <c r="M132" s="35"/>
      <c r="N132" s="35"/>
      <c r="O132" s="22" t="s">
        <v>49</v>
      </c>
      <c r="P132" s="6" t="s">
        <v>54</v>
      </c>
      <c r="Q132" s="251"/>
      <c r="R132"/>
    </row>
    <row r="133" spans="1:18" s="237" customFormat="1" ht="15" customHeight="1" x14ac:dyDescent="0.25">
      <c r="A133" s="6">
        <v>2025</v>
      </c>
      <c r="B133" s="6">
        <v>21</v>
      </c>
      <c r="C133" s="6" t="str">
        <f>B133&amp;"-25"</f>
        <v>21-25</v>
      </c>
      <c r="D133" s="6" t="s">
        <v>331</v>
      </c>
      <c r="E133" s="261" t="s">
        <v>332</v>
      </c>
      <c r="F133" s="230" t="s">
        <v>101</v>
      </c>
      <c r="G133" s="6" t="s">
        <v>20</v>
      </c>
      <c r="H133" s="262">
        <v>202518249524</v>
      </c>
      <c r="I133" s="317">
        <v>15048</v>
      </c>
      <c r="J133" s="4" t="s">
        <v>1622</v>
      </c>
      <c r="K133" s="3" t="s">
        <v>44</v>
      </c>
      <c r="L133" s="34">
        <v>45689</v>
      </c>
      <c r="M133" s="34"/>
      <c r="N133" s="34"/>
      <c r="O133" s="22" t="s">
        <v>49</v>
      </c>
      <c r="P133" s="6" t="s">
        <v>54</v>
      </c>
      <c r="Q133" s="251"/>
      <c r="R133"/>
    </row>
    <row r="134" spans="1:18" ht="17.850000000000001" customHeight="1" x14ac:dyDescent="0.25">
      <c r="A134" s="6">
        <v>2025</v>
      </c>
      <c r="B134" s="6">
        <v>22</v>
      </c>
      <c r="C134" s="6" t="str">
        <f>B134&amp;"-25"</f>
        <v>22-25</v>
      </c>
      <c r="D134" s="6" t="s">
        <v>333</v>
      </c>
      <c r="E134" s="230" t="s">
        <v>334</v>
      </c>
      <c r="F134" s="230" t="s">
        <v>140</v>
      </c>
      <c r="G134" s="6" t="s">
        <v>296</v>
      </c>
      <c r="H134" s="241">
        <v>202518222666</v>
      </c>
      <c r="I134" s="316">
        <v>7496.6</v>
      </c>
      <c r="J134" s="4" t="s">
        <v>1622</v>
      </c>
      <c r="K134" s="4" t="s">
        <v>119</v>
      </c>
      <c r="L134" s="34">
        <v>45689</v>
      </c>
      <c r="M134" s="35"/>
      <c r="N134" s="35"/>
      <c r="O134" s="22" t="s">
        <v>49</v>
      </c>
      <c r="P134" s="6" t="s">
        <v>54</v>
      </c>
      <c r="Q134" s="251"/>
      <c r="R134"/>
    </row>
    <row r="135" spans="1:18" s="288" customFormat="1" x14ac:dyDescent="0.25">
      <c r="A135" s="242">
        <v>2025</v>
      </c>
      <c r="B135" s="242">
        <v>23</v>
      </c>
      <c r="C135" s="242" t="str">
        <f>B135&amp;"-25"</f>
        <v>23-25</v>
      </c>
      <c r="D135" s="242" t="s">
        <v>335</v>
      </c>
      <c r="E135" s="306" t="s">
        <v>336</v>
      </c>
      <c r="F135" s="242" t="s">
        <v>104</v>
      </c>
      <c r="G135" s="242" t="s">
        <v>289</v>
      </c>
      <c r="H135" s="453">
        <v>2005160585</v>
      </c>
      <c r="I135" s="324"/>
      <c r="J135" s="4" t="s">
        <v>1618</v>
      </c>
      <c r="K135" s="300"/>
      <c r="L135" s="308">
        <v>45687</v>
      </c>
      <c r="M135" s="308"/>
      <c r="N135" s="308"/>
      <c r="O135" s="275" t="s">
        <v>49</v>
      </c>
      <c r="P135" s="242" t="s">
        <v>238</v>
      </c>
      <c r="Q135" s="309"/>
      <c r="R135" s="310"/>
    </row>
    <row r="136" spans="1:18" s="288" customFormat="1" x14ac:dyDescent="0.25">
      <c r="A136" s="242">
        <v>2025</v>
      </c>
      <c r="B136" s="242">
        <v>24</v>
      </c>
      <c r="C136" s="242" t="str">
        <f>B136&amp;"-25"</f>
        <v>24-25</v>
      </c>
      <c r="D136" s="242" t="s">
        <v>337</v>
      </c>
      <c r="E136" s="306" t="s">
        <v>338</v>
      </c>
      <c r="F136" s="306" t="s">
        <v>27</v>
      </c>
      <c r="G136" s="242" t="s">
        <v>296</v>
      </c>
      <c r="H136" s="307">
        <v>2005161658</v>
      </c>
      <c r="I136" s="324"/>
      <c r="J136" s="4" t="s">
        <v>1618</v>
      </c>
      <c r="K136" s="300"/>
      <c r="L136" s="308">
        <v>45717</v>
      </c>
      <c r="M136" s="308"/>
      <c r="N136" s="308"/>
      <c r="O136" s="275" t="s">
        <v>49</v>
      </c>
      <c r="P136" s="242" t="s">
        <v>238</v>
      </c>
      <c r="Q136" s="309"/>
      <c r="R136" s="310"/>
    </row>
    <row r="137" spans="1:18" s="238" customFormat="1" ht="15" customHeight="1" x14ac:dyDescent="0.25">
      <c r="A137" s="6">
        <v>2025</v>
      </c>
      <c r="B137" s="6">
        <v>25</v>
      </c>
      <c r="C137" s="6" t="str">
        <f>B137&amp;"-25"</f>
        <v>25-25</v>
      </c>
      <c r="D137" s="6" t="s">
        <v>339</v>
      </c>
      <c r="E137" s="230" t="s">
        <v>340</v>
      </c>
      <c r="F137" s="230" t="s">
        <v>101</v>
      </c>
      <c r="G137" s="6" t="s">
        <v>296</v>
      </c>
      <c r="H137" s="250">
        <v>202518250089</v>
      </c>
      <c r="I137" s="317">
        <v>3841.2</v>
      </c>
      <c r="J137" s="4" t="s">
        <v>1618</v>
      </c>
      <c r="K137" s="3"/>
      <c r="L137" s="34">
        <v>45703</v>
      </c>
      <c r="M137" s="34"/>
      <c r="N137" s="34"/>
      <c r="O137" s="22" t="s">
        <v>102</v>
      </c>
      <c r="P137" s="6" t="s">
        <v>54</v>
      </c>
      <c r="Q137" s="251"/>
      <c r="R137"/>
    </row>
    <row r="138" spans="1:18" ht="15" customHeight="1" x14ac:dyDescent="0.25">
      <c r="A138" s="6">
        <v>2025</v>
      </c>
      <c r="B138" s="6">
        <v>26</v>
      </c>
      <c r="C138" s="6" t="str">
        <f>B138&amp;"-25"</f>
        <v>26-25</v>
      </c>
      <c r="D138" s="6" t="s">
        <v>342</v>
      </c>
      <c r="E138" s="261" t="s">
        <v>343</v>
      </c>
      <c r="F138" s="6" t="s">
        <v>101</v>
      </c>
      <c r="G138" s="6" t="s">
        <v>344</v>
      </c>
      <c r="H138" s="247">
        <v>202518250318</v>
      </c>
      <c r="I138" s="316">
        <v>1636.8</v>
      </c>
      <c r="J138" s="4" t="s">
        <v>1622</v>
      </c>
      <c r="K138" s="22" t="s">
        <v>119</v>
      </c>
      <c r="L138" s="36">
        <v>45704</v>
      </c>
      <c r="M138" s="36"/>
      <c r="N138" s="36"/>
      <c r="O138" s="22" t="s">
        <v>102</v>
      </c>
      <c r="P138" s="6" t="s">
        <v>54</v>
      </c>
      <c r="Q138" s="251"/>
      <c r="R138"/>
    </row>
    <row r="139" spans="1:18" ht="15" customHeight="1" x14ac:dyDescent="0.25">
      <c r="A139" s="6">
        <v>2025</v>
      </c>
      <c r="B139" s="6">
        <v>27</v>
      </c>
      <c r="C139" s="6" t="str">
        <f>B139&amp;"-25"</f>
        <v>27-25</v>
      </c>
      <c r="D139" s="6" t="s">
        <v>345</v>
      </c>
      <c r="E139" s="261" t="s">
        <v>346</v>
      </c>
      <c r="F139" s="6" t="s">
        <v>147</v>
      </c>
      <c r="G139" s="6" t="s">
        <v>296</v>
      </c>
      <c r="H139" s="247">
        <v>202518235893</v>
      </c>
      <c r="I139" s="316">
        <v>1457.5</v>
      </c>
      <c r="J139" s="4" t="s">
        <v>1618</v>
      </c>
      <c r="K139" s="22"/>
      <c r="L139" s="36">
        <v>45687</v>
      </c>
      <c r="M139" s="36">
        <v>45743</v>
      </c>
      <c r="N139" s="36"/>
      <c r="O139" s="22" t="s">
        <v>133</v>
      </c>
      <c r="P139" s="6" t="s">
        <v>54</v>
      </c>
      <c r="Q139" s="6"/>
      <c r="R139"/>
    </row>
    <row r="140" spans="1:18" s="237" customFormat="1" ht="15" customHeight="1" x14ac:dyDescent="0.25">
      <c r="A140" s="6">
        <v>2025</v>
      </c>
      <c r="B140" s="6">
        <v>28</v>
      </c>
      <c r="C140" s="6" t="str">
        <f>B140&amp;"-25"</f>
        <v>28-25</v>
      </c>
      <c r="D140" s="6" t="s">
        <v>347</v>
      </c>
      <c r="E140" s="4"/>
      <c r="F140" s="6" t="s">
        <v>101</v>
      </c>
      <c r="G140" s="6" t="s">
        <v>296</v>
      </c>
      <c r="H140" s="241">
        <v>2005172071</v>
      </c>
      <c r="I140" s="318">
        <v>6073.1</v>
      </c>
      <c r="J140" s="4" t="s">
        <v>1618</v>
      </c>
      <c r="K140" s="4"/>
      <c r="L140" s="35">
        <v>45708</v>
      </c>
      <c r="M140" s="35"/>
      <c r="N140" s="35"/>
      <c r="O140" s="275" t="s">
        <v>133</v>
      </c>
      <c r="P140" s="6" t="s">
        <v>238</v>
      </c>
      <c r="Q140" s="251"/>
      <c r="R140"/>
    </row>
    <row r="141" spans="1:18" ht="15" customHeight="1" x14ac:dyDescent="0.25">
      <c r="A141" s="6">
        <v>2025</v>
      </c>
      <c r="B141" s="6">
        <v>29</v>
      </c>
      <c r="C141" s="6" t="str">
        <f>B141&amp;"-25"</f>
        <v>29-25</v>
      </c>
      <c r="D141" s="6" t="s">
        <v>1502</v>
      </c>
      <c r="E141" s="11"/>
      <c r="F141" s="11"/>
      <c r="G141" s="6" t="s">
        <v>296</v>
      </c>
      <c r="H141" s="436"/>
      <c r="I141" s="325">
        <v>2857.8</v>
      </c>
      <c r="J141" s="4" t="s">
        <v>1618</v>
      </c>
      <c r="K141" s="43"/>
      <c r="L141" s="44"/>
      <c r="M141" s="44"/>
      <c r="N141" s="44"/>
      <c r="O141" s="43"/>
      <c r="P141" s="11" t="s">
        <v>24</v>
      </c>
      <c r="Q141" s="251"/>
      <c r="R141"/>
    </row>
    <row r="142" spans="1:18" ht="14.45" customHeight="1" x14ac:dyDescent="0.25">
      <c r="A142" s="6">
        <v>2025</v>
      </c>
      <c r="B142" s="6">
        <v>30</v>
      </c>
      <c r="C142" s="6" t="str">
        <f>B142&amp;"-25"</f>
        <v>30-25</v>
      </c>
      <c r="D142" s="6" t="s">
        <v>348</v>
      </c>
      <c r="E142" s="4" t="s">
        <v>349</v>
      </c>
      <c r="F142" s="4" t="s">
        <v>27</v>
      </c>
      <c r="G142" s="241" t="s">
        <v>350</v>
      </c>
      <c r="H142" s="247"/>
      <c r="I142" s="318"/>
      <c r="J142" s="4" t="s">
        <v>1622</v>
      </c>
      <c r="K142" s="4" t="s">
        <v>285</v>
      </c>
      <c r="L142" s="35"/>
      <c r="M142" s="35"/>
      <c r="N142" s="35"/>
      <c r="O142" s="4"/>
      <c r="P142" s="6" t="s">
        <v>54</v>
      </c>
      <c r="Q142" s="251"/>
      <c r="R142"/>
    </row>
    <row r="143" spans="1:18" ht="15" customHeight="1" x14ac:dyDescent="0.25">
      <c r="A143" s="6">
        <v>2025</v>
      </c>
      <c r="B143" s="6">
        <v>31</v>
      </c>
      <c r="C143" s="6" t="str">
        <f>B143&amp;"-25"</f>
        <v>31-25</v>
      </c>
      <c r="D143" s="6" t="s">
        <v>351</v>
      </c>
      <c r="E143" s="4" t="s">
        <v>352</v>
      </c>
      <c r="F143" s="230" t="s">
        <v>324</v>
      </c>
      <c r="G143" s="6" t="s">
        <v>353</v>
      </c>
      <c r="H143" s="241">
        <v>202518245359</v>
      </c>
      <c r="I143" s="318">
        <v>404</v>
      </c>
      <c r="J143" s="4" t="s">
        <v>1618</v>
      </c>
      <c r="K143" s="4"/>
      <c r="L143" s="35">
        <v>45706</v>
      </c>
      <c r="M143" s="35">
        <v>45716</v>
      </c>
      <c r="N143" s="35">
        <v>45769</v>
      </c>
      <c r="O143" s="22" t="s">
        <v>133</v>
      </c>
      <c r="P143" s="6" t="s">
        <v>54</v>
      </c>
      <c r="Q143" s="6"/>
      <c r="R143"/>
    </row>
    <row r="144" spans="1:18" ht="15" customHeight="1" x14ac:dyDescent="0.25">
      <c r="A144" s="6">
        <v>2025</v>
      </c>
      <c r="B144" s="6">
        <v>32</v>
      </c>
      <c r="C144" s="6" t="str">
        <f>B144&amp;"-25"</f>
        <v>32-25</v>
      </c>
      <c r="D144" s="6" t="s">
        <v>354</v>
      </c>
      <c r="E144" s="230" t="s">
        <v>355</v>
      </c>
      <c r="F144" s="230" t="s">
        <v>101</v>
      </c>
      <c r="G144" s="6" t="s">
        <v>20</v>
      </c>
      <c r="H144" s="250">
        <v>202518250344</v>
      </c>
      <c r="I144" s="317">
        <v>2025.1</v>
      </c>
      <c r="J144" s="4" t="s">
        <v>1622</v>
      </c>
      <c r="K144" s="3" t="s">
        <v>119</v>
      </c>
      <c r="L144" s="34">
        <v>45703</v>
      </c>
      <c r="M144" s="34"/>
      <c r="N144" s="34"/>
      <c r="O144" s="22" t="s">
        <v>102</v>
      </c>
      <c r="P144" s="6" t="s">
        <v>54</v>
      </c>
      <c r="Q144" s="251"/>
      <c r="R144"/>
    </row>
    <row r="145" spans="1:18" ht="15" customHeight="1" x14ac:dyDescent="0.25">
      <c r="A145" s="6">
        <v>2025</v>
      </c>
      <c r="B145" s="6">
        <v>33</v>
      </c>
      <c r="C145" s="6" t="str">
        <f>B145&amp;"-25"</f>
        <v>33-25</v>
      </c>
      <c r="D145" s="6" t="s">
        <v>356</v>
      </c>
      <c r="E145" s="230" t="s">
        <v>357</v>
      </c>
      <c r="F145" s="230" t="s">
        <v>104</v>
      </c>
      <c r="G145" s="6" t="s">
        <v>289</v>
      </c>
      <c r="H145" s="250">
        <v>2005161690</v>
      </c>
      <c r="I145" s="317">
        <v>1876.08</v>
      </c>
      <c r="J145" s="4" t="s">
        <v>1618</v>
      </c>
      <c r="K145" s="3"/>
      <c r="L145" s="34">
        <v>45698</v>
      </c>
      <c r="M145" s="34"/>
      <c r="N145" s="34"/>
      <c r="O145" s="275" t="s">
        <v>133</v>
      </c>
      <c r="P145" s="6" t="s">
        <v>238</v>
      </c>
      <c r="Q145" s="251"/>
      <c r="R145"/>
    </row>
    <row r="146" spans="1:18" ht="15" customHeight="1" x14ac:dyDescent="0.25">
      <c r="A146" s="6">
        <v>2025</v>
      </c>
      <c r="B146" s="6">
        <v>34</v>
      </c>
      <c r="C146" s="6" t="str">
        <f>B146&amp;"-25"</f>
        <v>34-25</v>
      </c>
      <c r="D146" s="6" t="s">
        <v>358</v>
      </c>
      <c r="E146" s="261" t="s">
        <v>359</v>
      </c>
      <c r="F146" s="6" t="s">
        <v>197</v>
      </c>
      <c r="G146" s="6" t="s">
        <v>360</v>
      </c>
      <c r="H146" s="241">
        <v>202518257034</v>
      </c>
      <c r="I146" s="318">
        <v>9660.2000000000007</v>
      </c>
      <c r="J146" s="4" t="s">
        <v>1618</v>
      </c>
      <c r="K146" s="4"/>
      <c r="L146" s="35">
        <v>45710</v>
      </c>
      <c r="M146" s="35">
        <v>45741</v>
      </c>
      <c r="N146" s="35"/>
      <c r="O146" s="22" t="s">
        <v>133</v>
      </c>
      <c r="P146" s="6" t="s">
        <v>54</v>
      </c>
      <c r="Q146" s="6"/>
      <c r="R146"/>
    </row>
    <row r="147" spans="1:18" s="343" customFormat="1" ht="15" customHeight="1" x14ac:dyDescent="0.25">
      <c r="A147" s="8">
        <v>2025</v>
      </c>
      <c r="B147" s="8">
        <v>35</v>
      </c>
      <c r="C147" s="8" t="str">
        <f>B147&amp;"-25"</f>
        <v>35-25</v>
      </c>
      <c r="D147" s="8" t="s">
        <v>361</v>
      </c>
      <c r="E147" s="351" t="s">
        <v>362</v>
      </c>
      <c r="F147" s="8"/>
      <c r="G147" s="351" t="s">
        <v>363</v>
      </c>
      <c r="H147" s="352">
        <v>2005162139</v>
      </c>
      <c r="I147" s="347">
        <v>1009.25</v>
      </c>
      <c r="J147" s="4" t="s">
        <v>1622</v>
      </c>
      <c r="K147" s="349" t="s">
        <v>285</v>
      </c>
      <c r="L147" s="350">
        <v>45699</v>
      </c>
      <c r="M147" s="350"/>
      <c r="N147" s="350"/>
      <c r="O147" s="349"/>
      <c r="P147" s="8" t="s">
        <v>238</v>
      </c>
      <c r="Q147" s="251"/>
      <c r="R147" s="353"/>
    </row>
    <row r="148" spans="1:18" ht="15" customHeight="1" x14ac:dyDescent="0.25">
      <c r="A148" s="6">
        <v>2025</v>
      </c>
      <c r="B148" s="6">
        <v>36</v>
      </c>
      <c r="C148" s="6" t="str">
        <f>B148&amp;"-25"</f>
        <v>36-25</v>
      </c>
      <c r="D148" s="6" t="s">
        <v>364</v>
      </c>
      <c r="E148" s="230" t="s">
        <v>365</v>
      </c>
      <c r="F148" s="6" t="s">
        <v>366</v>
      </c>
      <c r="G148" s="6" t="s">
        <v>289</v>
      </c>
      <c r="H148" s="247">
        <v>3009417543</v>
      </c>
      <c r="I148" s="317">
        <v>3820</v>
      </c>
      <c r="J148" s="4" t="s">
        <v>1618</v>
      </c>
      <c r="K148" s="3"/>
      <c r="L148" s="34">
        <v>45699</v>
      </c>
      <c r="M148" s="34"/>
      <c r="N148" s="34"/>
      <c r="O148" s="3"/>
      <c r="P148" s="6" t="s">
        <v>238</v>
      </c>
      <c r="Q148" s="6"/>
      <c r="R148"/>
    </row>
    <row r="149" spans="1:18" ht="15" customHeight="1" x14ac:dyDescent="0.25">
      <c r="A149" s="6">
        <v>2025</v>
      </c>
      <c r="B149" s="6">
        <v>37</v>
      </c>
      <c r="C149" s="6" t="str">
        <f>B149&amp;"-25"</f>
        <v>37-25</v>
      </c>
      <c r="D149" s="6" t="s">
        <v>367</v>
      </c>
      <c r="E149" s="230" t="s">
        <v>368</v>
      </c>
      <c r="F149" s="230" t="s">
        <v>197</v>
      </c>
      <c r="G149" s="230" t="s">
        <v>20</v>
      </c>
      <c r="H149" s="250">
        <v>202518273128</v>
      </c>
      <c r="I149" s="317">
        <v>14876.4</v>
      </c>
      <c r="J149" s="4" t="s">
        <v>1618</v>
      </c>
      <c r="K149" s="3"/>
      <c r="L149" s="34">
        <v>45700</v>
      </c>
      <c r="M149" s="34">
        <v>45750</v>
      </c>
      <c r="N149" s="34">
        <v>45797</v>
      </c>
      <c r="O149" s="22" t="s">
        <v>133</v>
      </c>
      <c r="P149" s="6" t="s">
        <v>54</v>
      </c>
      <c r="Q149" s="6"/>
      <c r="R149"/>
    </row>
    <row r="150" spans="1:18" ht="15" customHeight="1" x14ac:dyDescent="0.25">
      <c r="A150" s="6">
        <v>2025</v>
      </c>
      <c r="B150" s="6">
        <v>38</v>
      </c>
      <c r="C150" s="6" t="str">
        <f>B150&amp;"-25"</f>
        <v>38-25</v>
      </c>
      <c r="D150" s="6" t="s">
        <v>369</v>
      </c>
      <c r="E150" s="261" t="s">
        <v>370</v>
      </c>
      <c r="F150" s="6" t="s">
        <v>195</v>
      </c>
      <c r="G150" s="230" t="s">
        <v>94</v>
      </c>
      <c r="H150" s="250">
        <v>202518287121</v>
      </c>
      <c r="I150" s="317">
        <v>444.4</v>
      </c>
      <c r="J150" s="4" t="s">
        <v>1618</v>
      </c>
      <c r="K150" s="3"/>
      <c r="L150" s="34">
        <v>45702</v>
      </c>
      <c r="M150" s="34">
        <v>45706</v>
      </c>
      <c r="N150" s="34">
        <v>45756</v>
      </c>
      <c r="O150" s="81" t="s">
        <v>371</v>
      </c>
      <c r="P150" s="6" t="s">
        <v>54</v>
      </c>
      <c r="Q150" s="6"/>
      <c r="R150"/>
    </row>
    <row r="151" spans="1:18" ht="15" customHeight="1" x14ac:dyDescent="0.25">
      <c r="A151" s="6">
        <v>2025</v>
      </c>
      <c r="B151" s="6">
        <v>39</v>
      </c>
      <c r="C151" s="6" t="str">
        <f>B151&amp;"-25"</f>
        <v>39-25</v>
      </c>
      <c r="D151" s="6" t="s">
        <v>372</v>
      </c>
      <c r="E151" s="6" t="s">
        <v>373</v>
      </c>
      <c r="F151" s="6" t="s">
        <v>195</v>
      </c>
      <c r="G151" s="6" t="s">
        <v>94</v>
      </c>
      <c r="H151" s="247">
        <v>202518287269</v>
      </c>
      <c r="I151" s="316">
        <v>1933.8</v>
      </c>
      <c r="J151" s="4" t="s">
        <v>1618</v>
      </c>
      <c r="K151" s="4"/>
      <c r="L151" s="35">
        <v>45702</v>
      </c>
      <c r="M151" s="35"/>
      <c r="N151" s="35"/>
      <c r="O151" s="81" t="s">
        <v>371</v>
      </c>
      <c r="P151" s="6" t="s">
        <v>54</v>
      </c>
      <c r="Q151" s="6"/>
      <c r="R151"/>
    </row>
    <row r="152" spans="1:18" ht="15" customHeight="1" x14ac:dyDescent="0.25">
      <c r="A152" s="6">
        <v>2025</v>
      </c>
      <c r="B152" s="6">
        <v>40</v>
      </c>
      <c r="C152" s="6" t="str">
        <f>B152&amp;"-25"</f>
        <v>40-25</v>
      </c>
      <c r="D152" s="6" t="s">
        <v>374</v>
      </c>
      <c r="E152" s="261" t="s">
        <v>375</v>
      </c>
      <c r="F152" s="261" t="s">
        <v>174</v>
      </c>
      <c r="G152" s="6" t="s">
        <v>289</v>
      </c>
      <c r="H152" s="262">
        <v>202518273746</v>
      </c>
      <c r="I152" s="316">
        <v>308</v>
      </c>
      <c r="J152" s="4" t="s">
        <v>1618</v>
      </c>
      <c r="K152" s="22"/>
      <c r="L152" s="36">
        <v>45699</v>
      </c>
      <c r="M152" s="36"/>
      <c r="N152" s="36"/>
      <c r="O152" s="4" t="s">
        <v>58</v>
      </c>
      <c r="P152" s="6" t="s">
        <v>54</v>
      </c>
      <c r="Q152" s="6"/>
      <c r="R152"/>
    </row>
    <row r="153" spans="1:18" s="343" customFormat="1" ht="15" customHeight="1" x14ac:dyDescent="0.25">
      <c r="A153" s="8">
        <v>2025</v>
      </c>
      <c r="B153" s="8">
        <v>41</v>
      </c>
      <c r="C153" s="8" t="str">
        <f>B153&amp;"-25"</f>
        <v>41-25</v>
      </c>
      <c r="D153" s="8" t="s">
        <v>376</v>
      </c>
      <c r="E153" s="351" t="s">
        <v>377</v>
      </c>
      <c r="F153" s="351" t="s">
        <v>52</v>
      </c>
      <c r="G153" s="8" t="s">
        <v>20</v>
      </c>
      <c r="H153" s="354">
        <v>2005163118</v>
      </c>
      <c r="I153" s="347">
        <v>6392.65</v>
      </c>
      <c r="J153" s="4" t="s">
        <v>1618</v>
      </c>
      <c r="K153" s="349"/>
      <c r="L153" s="350">
        <v>45708</v>
      </c>
      <c r="M153" s="341"/>
      <c r="N153" s="341"/>
      <c r="O153" s="22" t="s">
        <v>133</v>
      </c>
      <c r="P153" s="8" t="s">
        <v>238</v>
      </c>
      <c r="Q153" s="251"/>
      <c r="R153" s="353"/>
    </row>
    <row r="154" spans="1:18" ht="15" customHeight="1" x14ac:dyDescent="0.25">
      <c r="A154" s="6">
        <v>2025</v>
      </c>
      <c r="B154" s="6">
        <v>42</v>
      </c>
      <c r="C154" s="6" t="str">
        <f>B154&amp;"-25"</f>
        <v>42-25</v>
      </c>
      <c r="D154" s="6" t="s">
        <v>378</v>
      </c>
      <c r="E154" s="261" t="s">
        <v>379</v>
      </c>
      <c r="F154" s="230" t="s">
        <v>101</v>
      </c>
      <c r="G154" s="6" t="s">
        <v>20</v>
      </c>
      <c r="H154" s="247">
        <v>202518314610</v>
      </c>
      <c r="I154" s="317">
        <v>1508.1</v>
      </c>
      <c r="J154" s="4" t="s">
        <v>1622</v>
      </c>
      <c r="K154" s="4" t="s">
        <v>119</v>
      </c>
      <c r="L154" s="35">
        <v>45718</v>
      </c>
      <c r="M154" s="35"/>
      <c r="N154" s="35"/>
      <c r="O154" s="22" t="s">
        <v>102</v>
      </c>
      <c r="P154" s="6" t="s">
        <v>54</v>
      </c>
      <c r="Q154" s="251"/>
      <c r="R154"/>
    </row>
    <row r="155" spans="1:18" ht="18" customHeight="1" x14ac:dyDescent="0.25">
      <c r="A155" s="6">
        <v>2025</v>
      </c>
      <c r="B155" s="6">
        <v>43</v>
      </c>
      <c r="C155" s="6" t="str">
        <f>B155&amp;"-25"</f>
        <v>43-25</v>
      </c>
      <c r="D155" s="11" t="s">
        <v>380</v>
      </c>
      <c r="E155" s="12"/>
      <c r="F155" s="12" t="s">
        <v>262</v>
      </c>
      <c r="G155" s="6" t="s">
        <v>20</v>
      </c>
      <c r="H155" s="249"/>
      <c r="I155" s="321">
        <v>2940</v>
      </c>
      <c r="J155" s="4" t="s">
        <v>1618</v>
      </c>
      <c r="K155" s="41"/>
      <c r="L155" s="42">
        <v>45725</v>
      </c>
      <c r="M155" s="42"/>
      <c r="N155" s="42"/>
      <c r="O155" s="433"/>
      <c r="P155" s="11" t="s">
        <v>24</v>
      </c>
      <c r="Q155" s="251"/>
      <c r="R155"/>
    </row>
    <row r="156" spans="1:18" s="238" customFormat="1" ht="14.85" customHeight="1" x14ac:dyDescent="0.25">
      <c r="A156" s="6">
        <v>2025</v>
      </c>
      <c r="B156" s="6">
        <v>44</v>
      </c>
      <c r="C156" s="6" t="str">
        <f>B156&amp;"-25"</f>
        <v>44-25</v>
      </c>
      <c r="D156" s="6" t="s">
        <v>381</v>
      </c>
      <c r="E156" s="230" t="s">
        <v>382</v>
      </c>
      <c r="F156" s="230" t="s">
        <v>27</v>
      </c>
      <c r="G156" s="6" t="s">
        <v>20</v>
      </c>
      <c r="H156" s="241">
        <v>2005163565</v>
      </c>
      <c r="I156" s="317">
        <v>402.93</v>
      </c>
      <c r="J156" s="4" t="s">
        <v>1622</v>
      </c>
      <c r="K156" s="4" t="s">
        <v>326</v>
      </c>
      <c r="L156" s="35">
        <v>45712</v>
      </c>
      <c r="M156" s="35"/>
      <c r="N156" s="35"/>
      <c r="O156" s="22" t="s">
        <v>133</v>
      </c>
      <c r="P156" s="6" t="s">
        <v>238</v>
      </c>
      <c r="Q156" s="251"/>
      <c r="R156"/>
    </row>
    <row r="157" spans="1:18" s="237" customFormat="1" ht="15" customHeight="1" x14ac:dyDescent="0.25">
      <c r="A157" s="6">
        <v>2025</v>
      </c>
      <c r="B157" s="6">
        <v>45</v>
      </c>
      <c r="C157" s="6" t="str">
        <f>B157&amp;"-25"</f>
        <v>45-25</v>
      </c>
      <c r="D157" s="6" t="s">
        <v>383</v>
      </c>
      <c r="E157" s="230" t="s">
        <v>384</v>
      </c>
      <c r="F157" s="230" t="s">
        <v>52</v>
      </c>
      <c r="G157" s="6" t="s">
        <v>20</v>
      </c>
      <c r="H157" s="241">
        <v>2005162718</v>
      </c>
      <c r="I157" s="317">
        <v>4659.6000000000004</v>
      </c>
      <c r="J157" s="4" t="s">
        <v>1618</v>
      </c>
      <c r="K157" s="4"/>
      <c r="L157" s="35">
        <v>45708</v>
      </c>
      <c r="M157" s="35"/>
      <c r="N157" s="35"/>
      <c r="O157" s="22" t="s">
        <v>49</v>
      </c>
      <c r="P157" s="6" t="s">
        <v>54</v>
      </c>
      <c r="Q157" s="251"/>
      <c r="R157"/>
    </row>
    <row r="158" spans="1:18" s="237" customFormat="1" ht="15" customHeight="1" x14ac:dyDescent="0.25">
      <c r="A158" s="6">
        <v>2025</v>
      </c>
      <c r="B158" s="6">
        <v>46</v>
      </c>
      <c r="C158" s="6" t="str">
        <f>B158&amp;"-25"</f>
        <v>46-25</v>
      </c>
      <c r="D158" s="6" t="s">
        <v>385</v>
      </c>
      <c r="E158" s="261" t="s">
        <v>386</v>
      </c>
      <c r="F158" s="230" t="s">
        <v>195</v>
      </c>
      <c r="G158" s="6" t="s">
        <v>296</v>
      </c>
      <c r="H158" s="262">
        <v>202518287473</v>
      </c>
      <c r="I158" s="317">
        <v>1067</v>
      </c>
      <c r="J158" s="4" t="s">
        <v>1622</v>
      </c>
      <c r="K158" s="4" t="s">
        <v>326</v>
      </c>
      <c r="L158" s="35">
        <v>45703</v>
      </c>
      <c r="M158" s="35"/>
      <c r="N158" s="35"/>
      <c r="O158" s="81" t="s">
        <v>371</v>
      </c>
      <c r="P158" s="6" t="s">
        <v>54</v>
      </c>
      <c r="Q158" s="6"/>
      <c r="R158"/>
    </row>
    <row r="159" spans="1:18" ht="15" customHeight="1" x14ac:dyDescent="0.25">
      <c r="A159" s="6">
        <v>2025</v>
      </c>
      <c r="B159" s="6">
        <v>47</v>
      </c>
      <c r="C159" s="6" t="str">
        <f>B159&amp;"-25"</f>
        <v>47-25</v>
      </c>
      <c r="D159" s="6" t="s">
        <v>387</v>
      </c>
      <c r="E159" s="230" t="s">
        <v>388</v>
      </c>
      <c r="F159" s="230" t="s">
        <v>52</v>
      </c>
      <c r="G159" s="6" t="s">
        <v>289</v>
      </c>
      <c r="H159" s="241">
        <v>3009417545</v>
      </c>
      <c r="I159" s="317">
        <v>1986.6</v>
      </c>
      <c r="J159" s="4" t="s">
        <v>1618</v>
      </c>
      <c r="K159" s="4"/>
      <c r="L159" s="35">
        <v>45703</v>
      </c>
      <c r="M159" s="35"/>
      <c r="N159" s="35"/>
      <c r="O159" s="223" t="s">
        <v>49</v>
      </c>
      <c r="P159" s="6" t="s">
        <v>238</v>
      </c>
      <c r="Q159" s="6"/>
      <c r="R159"/>
    </row>
    <row r="160" spans="1:18" ht="15" customHeight="1" x14ac:dyDescent="0.25">
      <c r="A160" s="6">
        <v>2025</v>
      </c>
      <c r="B160" s="6">
        <v>48</v>
      </c>
      <c r="C160" s="6" t="str">
        <f>B160&amp;"-25"</f>
        <v>48-25</v>
      </c>
      <c r="D160" s="6" t="s">
        <v>389</v>
      </c>
      <c r="E160" s="230"/>
      <c r="F160" s="6" t="s">
        <v>390</v>
      </c>
      <c r="G160" s="230" t="s">
        <v>391</v>
      </c>
      <c r="H160" s="250"/>
      <c r="I160" s="317"/>
      <c r="J160" s="4" t="s">
        <v>1622</v>
      </c>
      <c r="K160" s="3" t="s">
        <v>106</v>
      </c>
      <c r="L160" s="34"/>
      <c r="M160" s="34"/>
      <c r="N160" s="34"/>
      <c r="O160" s="4" t="s">
        <v>58</v>
      </c>
      <c r="P160" s="6" t="s">
        <v>54</v>
      </c>
      <c r="Q160" s="251"/>
      <c r="R160"/>
    </row>
    <row r="161" spans="1:18" s="343" customFormat="1" ht="14.45" customHeight="1" x14ac:dyDescent="0.25">
      <c r="A161" s="8">
        <v>2025</v>
      </c>
      <c r="B161" s="8">
        <v>49</v>
      </c>
      <c r="C161" s="8" t="str">
        <f>B161&amp;"-25"</f>
        <v>49-25</v>
      </c>
      <c r="D161" s="8" t="s">
        <v>392</v>
      </c>
      <c r="E161" s="351" t="s">
        <v>393</v>
      </c>
      <c r="F161" s="351" t="s">
        <v>394</v>
      </c>
      <c r="G161" s="6" t="s">
        <v>296</v>
      </c>
      <c r="H161" s="352">
        <v>2005163597</v>
      </c>
      <c r="I161" s="347">
        <v>3886.7</v>
      </c>
      <c r="J161" s="4" t="s">
        <v>1622</v>
      </c>
      <c r="K161" s="349" t="s">
        <v>808</v>
      </c>
      <c r="L161" s="341">
        <v>45712</v>
      </c>
      <c r="M161" s="350"/>
      <c r="N161" s="350"/>
      <c r="O161" s="349"/>
      <c r="P161" s="8" t="s">
        <v>238</v>
      </c>
      <c r="Q161" s="251"/>
      <c r="R161" s="353"/>
    </row>
    <row r="162" spans="1:18" ht="15" customHeight="1" x14ac:dyDescent="0.25">
      <c r="A162" s="6">
        <v>2025</v>
      </c>
      <c r="B162" s="6">
        <v>50</v>
      </c>
      <c r="C162" s="6" t="str">
        <f>B162&amp;"-25"</f>
        <v>50-25</v>
      </c>
      <c r="D162" s="11" t="s">
        <v>395</v>
      </c>
      <c r="E162" s="12" t="s">
        <v>396</v>
      </c>
      <c r="F162" s="12" t="s">
        <v>57</v>
      </c>
      <c r="G162" s="6" t="s">
        <v>20</v>
      </c>
      <c r="H162" s="246" t="s">
        <v>397</v>
      </c>
      <c r="I162" s="321">
        <v>41754.400000000001</v>
      </c>
      <c r="J162" s="4" t="s">
        <v>1611</v>
      </c>
      <c r="K162" s="39"/>
      <c r="L162" s="40"/>
      <c r="M162" s="40"/>
      <c r="N162" s="40"/>
      <c r="O162" s="39"/>
      <c r="P162" s="11" t="s">
        <v>24</v>
      </c>
      <c r="Q162" s="251"/>
      <c r="R162"/>
    </row>
    <row r="163" spans="1:18" x14ac:dyDescent="0.25">
      <c r="A163" s="6">
        <v>2025</v>
      </c>
      <c r="B163" s="6">
        <v>51</v>
      </c>
      <c r="C163" s="6" t="str">
        <f>B163&amp;"-25"</f>
        <v>51-25</v>
      </c>
      <c r="D163" s="6" t="s">
        <v>398</v>
      </c>
      <c r="E163" s="230" t="s">
        <v>399</v>
      </c>
      <c r="F163" s="230" t="s">
        <v>153</v>
      </c>
      <c r="G163" s="6" t="s">
        <v>289</v>
      </c>
      <c r="H163" s="250">
        <v>3009417247</v>
      </c>
      <c r="I163" s="317">
        <v>3857.74</v>
      </c>
      <c r="J163" s="4" t="s">
        <v>1618</v>
      </c>
      <c r="K163" s="3"/>
      <c r="L163" s="34">
        <v>45705</v>
      </c>
      <c r="M163" s="34"/>
      <c r="N163" s="34"/>
      <c r="O163" s="3"/>
      <c r="P163" s="6" t="s">
        <v>238</v>
      </c>
      <c r="Q163" s="6"/>
      <c r="R163"/>
    </row>
    <row r="164" spans="1:18" ht="15" customHeight="1" x14ac:dyDescent="0.25">
      <c r="A164" s="6">
        <v>2025</v>
      </c>
      <c r="B164" s="6">
        <v>52</v>
      </c>
      <c r="C164" s="6" t="str">
        <f>B164&amp;"-25"</f>
        <v>52-25</v>
      </c>
      <c r="D164" s="6" t="s">
        <v>400</v>
      </c>
      <c r="E164" s="230" t="s">
        <v>401</v>
      </c>
      <c r="F164" s="6" t="s">
        <v>402</v>
      </c>
      <c r="G164" s="6" t="s">
        <v>289</v>
      </c>
      <c r="H164" s="250">
        <v>2005162945</v>
      </c>
      <c r="I164" s="317"/>
      <c r="J164" s="4" t="s">
        <v>1618</v>
      </c>
      <c r="K164" s="3"/>
      <c r="L164" s="34">
        <v>45706</v>
      </c>
      <c r="M164" s="34"/>
      <c r="N164" s="34"/>
      <c r="O164" s="3"/>
      <c r="P164" s="6" t="s">
        <v>238</v>
      </c>
      <c r="Q164" s="6"/>
      <c r="R164"/>
    </row>
    <row r="165" spans="1:18" s="343" customFormat="1" ht="15" customHeight="1" x14ac:dyDescent="0.25">
      <c r="A165" s="8">
        <v>2025</v>
      </c>
      <c r="B165" s="8">
        <v>53</v>
      </c>
      <c r="C165" s="8" t="str">
        <f>B165&amp;"-25"</f>
        <v>53-25</v>
      </c>
      <c r="D165" s="8" t="s">
        <v>403</v>
      </c>
      <c r="E165" s="351" t="s">
        <v>404</v>
      </c>
      <c r="F165" s="351" t="s">
        <v>153</v>
      </c>
      <c r="G165" s="8" t="s">
        <v>20</v>
      </c>
      <c r="H165" s="346">
        <v>202518301229</v>
      </c>
      <c r="I165" s="347">
        <v>1931.33</v>
      </c>
      <c r="J165" s="4" t="s">
        <v>1618</v>
      </c>
      <c r="K165" s="9"/>
      <c r="L165" s="350">
        <v>45707</v>
      </c>
      <c r="M165" s="341"/>
      <c r="N165" s="341"/>
      <c r="O165" s="223" t="s">
        <v>49</v>
      </c>
      <c r="P165" s="8" t="s">
        <v>238</v>
      </c>
      <c r="Q165" s="251"/>
      <c r="R165" s="353"/>
    </row>
    <row r="166" spans="1:18" ht="15" customHeight="1" x14ac:dyDescent="0.25">
      <c r="A166" s="6">
        <v>2025</v>
      </c>
      <c r="B166" s="6">
        <v>54</v>
      </c>
      <c r="C166" s="6" t="str">
        <f>B166&amp;"-25"</f>
        <v>54-25</v>
      </c>
      <c r="D166" s="6" t="s">
        <v>405</v>
      </c>
      <c r="E166" s="230" t="s">
        <v>406</v>
      </c>
      <c r="F166" s="230" t="s">
        <v>366</v>
      </c>
      <c r="G166" s="6" t="s">
        <v>296</v>
      </c>
      <c r="H166" s="230">
        <v>2005165344</v>
      </c>
      <c r="I166" s="329">
        <v>561.4</v>
      </c>
      <c r="J166" s="4" t="s">
        <v>1618</v>
      </c>
      <c r="K166" s="230"/>
      <c r="L166" s="233">
        <v>45726</v>
      </c>
      <c r="M166" s="230"/>
      <c r="N166" s="230"/>
      <c r="O166" s="22"/>
      <c r="P166" s="6" t="s">
        <v>238</v>
      </c>
      <c r="Q166" s="6"/>
      <c r="R166"/>
    </row>
    <row r="167" spans="1:18" ht="15" customHeight="1" x14ac:dyDescent="0.25">
      <c r="A167" s="6">
        <v>2025</v>
      </c>
      <c r="B167" s="6">
        <v>55</v>
      </c>
      <c r="C167" s="6" t="str">
        <f>B167&amp;"-25"</f>
        <v>55-25</v>
      </c>
      <c r="D167" s="11" t="s">
        <v>407</v>
      </c>
      <c r="E167" s="434"/>
      <c r="F167" s="41" t="s">
        <v>262</v>
      </c>
      <c r="G167" s="11"/>
      <c r="H167" s="249"/>
      <c r="I167" s="322"/>
      <c r="J167" s="4" t="s">
        <v>1611</v>
      </c>
      <c r="K167" s="41"/>
      <c r="L167" s="42"/>
      <c r="M167" s="42"/>
      <c r="N167" s="42"/>
      <c r="O167" s="41"/>
      <c r="P167" s="11" t="s">
        <v>24</v>
      </c>
      <c r="Q167" s="251"/>
      <c r="R167"/>
    </row>
    <row r="168" spans="1:18" ht="15" customHeight="1" x14ac:dyDescent="0.25">
      <c r="A168" s="6">
        <v>2025</v>
      </c>
      <c r="B168" s="6">
        <v>56</v>
      </c>
      <c r="C168" s="6" t="str">
        <f>B168&amp;"-25"</f>
        <v>56-25</v>
      </c>
      <c r="D168" s="6" t="s">
        <v>408</v>
      </c>
      <c r="E168" s="230" t="s">
        <v>409</v>
      </c>
      <c r="F168" s="6" t="s">
        <v>324</v>
      </c>
      <c r="G168" s="230" t="s">
        <v>353</v>
      </c>
      <c r="H168" s="262">
        <v>202518300141</v>
      </c>
      <c r="I168" s="317">
        <v>5107.3</v>
      </c>
      <c r="J168" s="4" t="s">
        <v>1618</v>
      </c>
      <c r="K168" s="3"/>
      <c r="L168" s="34">
        <v>45708</v>
      </c>
      <c r="M168" s="34">
        <v>45734</v>
      </c>
      <c r="N168" s="34">
        <v>45801</v>
      </c>
      <c r="O168" s="22" t="s">
        <v>133</v>
      </c>
      <c r="P168" s="6" t="s">
        <v>54</v>
      </c>
      <c r="Q168" s="251"/>
      <c r="R168"/>
    </row>
    <row r="169" spans="1:18" s="238" customFormat="1" ht="15" customHeight="1" x14ac:dyDescent="0.25">
      <c r="A169" s="6">
        <v>2025</v>
      </c>
      <c r="B169" s="6">
        <v>57</v>
      </c>
      <c r="C169" s="6" t="str">
        <f>B169&amp;"-25"</f>
        <v>57-25</v>
      </c>
      <c r="D169" s="6" t="s">
        <v>410</v>
      </c>
      <c r="E169" s="6" t="s">
        <v>411</v>
      </c>
      <c r="F169" s="6" t="s">
        <v>104</v>
      </c>
      <c r="G169" s="6" t="s">
        <v>412</v>
      </c>
      <c r="H169" s="6"/>
      <c r="I169" s="330"/>
      <c r="J169" s="4" t="s">
        <v>1622</v>
      </c>
      <c r="K169" s="22" t="s">
        <v>106</v>
      </c>
      <c r="L169" s="35"/>
      <c r="M169" s="35"/>
      <c r="N169" s="35"/>
      <c r="O169" s="4"/>
      <c r="P169" s="6" t="s">
        <v>238</v>
      </c>
      <c r="Q169" s="251"/>
      <c r="R169"/>
    </row>
    <row r="170" spans="1:18" x14ac:dyDescent="0.25">
      <c r="A170" s="6">
        <v>2025</v>
      </c>
      <c r="B170" s="6">
        <v>58</v>
      </c>
      <c r="C170" s="6" t="str">
        <f>B170&amp;"-25"</f>
        <v>58-25</v>
      </c>
      <c r="D170" s="6" t="s">
        <v>413</v>
      </c>
      <c r="E170" s="6" t="s">
        <v>414</v>
      </c>
      <c r="F170" s="230" t="s">
        <v>147</v>
      </c>
      <c r="G170" s="6" t="s">
        <v>296</v>
      </c>
      <c r="H170" s="247">
        <v>2005163522</v>
      </c>
      <c r="I170" s="316">
        <v>1508.92</v>
      </c>
      <c r="J170" s="4" t="s">
        <v>1618</v>
      </c>
      <c r="K170" s="4"/>
      <c r="L170" s="35">
        <v>45721</v>
      </c>
      <c r="M170" s="35">
        <v>45745</v>
      </c>
      <c r="N170" s="35">
        <v>45788</v>
      </c>
      <c r="O170" s="22" t="s">
        <v>133</v>
      </c>
      <c r="P170" s="6" t="s">
        <v>54</v>
      </c>
      <c r="Q170" s="251"/>
      <c r="R170"/>
    </row>
    <row r="171" spans="1:18" s="238" customFormat="1" x14ac:dyDescent="0.25">
      <c r="A171" s="11">
        <v>2025</v>
      </c>
      <c r="B171" s="11">
        <v>59</v>
      </c>
      <c r="C171" s="11" t="str">
        <f>B171&amp;"-25"</f>
        <v>59-25</v>
      </c>
      <c r="D171" s="11" t="s">
        <v>415</v>
      </c>
      <c r="E171" s="12"/>
      <c r="F171" s="12"/>
      <c r="G171" s="11" t="s">
        <v>416</v>
      </c>
      <c r="H171" s="246"/>
      <c r="I171" s="321"/>
      <c r="J171" s="4" t="s">
        <v>1622</v>
      </c>
      <c r="K171" s="39" t="s">
        <v>285</v>
      </c>
      <c r="L171" s="40"/>
      <c r="M171" s="42"/>
      <c r="N171" s="42"/>
      <c r="O171" s="41"/>
      <c r="P171" s="11" t="s">
        <v>24</v>
      </c>
      <c r="Q171" s="251"/>
      <c r="R171"/>
    </row>
    <row r="172" spans="1:18" s="238" customFormat="1" ht="15" customHeight="1" x14ac:dyDescent="0.25">
      <c r="A172" s="6">
        <v>2025</v>
      </c>
      <c r="B172" s="6">
        <v>60</v>
      </c>
      <c r="C172" s="6" t="str">
        <f>B172&amp;"-25"</f>
        <v>60-25</v>
      </c>
      <c r="D172" s="6" t="s">
        <v>417</v>
      </c>
      <c r="E172" s="6" t="s">
        <v>417</v>
      </c>
      <c r="F172" s="6" t="s">
        <v>104</v>
      </c>
      <c r="G172" s="6" t="s">
        <v>418</v>
      </c>
      <c r="H172" s="6"/>
      <c r="I172" s="330"/>
      <c r="J172" s="4" t="s">
        <v>1622</v>
      </c>
      <c r="K172" s="22" t="s">
        <v>106</v>
      </c>
      <c r="L172" s="248"/>
      <c r="M172" s="6"/>
      <c r="N172" s="6"/>
      <c r="O172" s="6"/>
      <c r="P172" s="6" t="s">
        <v>238</v>
      </c>
      <c r="Q172" s="251"/>
      <c r="R172"/>
    </row>
    <row r="173" spans="1:18" ht="15" customHeight="1" x14ac:dyDescent="0.25">
      <c r="A173" s="6">
        <v>2025</v>
      </c>
      <c r="B173" s="6">
        <v>61</v>
      </c>
      <c r="C173" s="6" t="str">
        <f>B173&amp;"-25"</f>
        <v>61-25</v>
      </c>
      <c r="D173" s="11" t="s">
        <v>419</v>
      </c>
      <c r="E173" s="6" t="s">
        <v>420</v>
      </c>
      <c r="F173" s="12" t="s">
        <v>366</v>
      </c>
      <c r="G173" s="6" t="s">
        <v>421</v>
      </c>
      <c r="H173" s="6"/>
      <c r="I173" s="330"/>
      <c r="J173" s="4" t="s">
        <v>1622</v>
      </c>
      <c r="K173" s="6" t="s">
        <v>106</v>
      </c>
      <c r="L173" s="248"/>
      <c r="M173" s="6"/>
      <c r="N173" s="6"/>
      <c r="O173" s="6"/>
      <c r="P173" s="6" t="s">
        <v>24</v>
      </c>
      <c r="Q173" s="251"/>
      <c r="R173"/>
    </row>
    <row r="174" spans="1:18" ht="15" customHeight="1" x14ac:dyDescent="0.25">
      <c r="A174" s="6">
        <v>2025</v>
      </c>
      <c r="B174" s="6">
        <v>62</v>
      </c>
      <c r="C174" s="6" t="str">
        <f>B174&amp;"-25"</f>
        <v>62-25</v>
      </c>
      <c r="D174" s="6" t="s">
        <v>422</v>
      </c>
      <c r="E174" s="6" t="s">
        <v>423</v>
      </c>
      <c r="F174" s="230" t="s">
        <v>147</v>
      </c>
      <c r="G174" s="6" t="s">
        <v>20</v>
      </c>
      <c r="H174" s="247">
        <v>202518386648</v>
      </c>
      <c r="I174" s="330">
        <v>1052.7</v>
      </c>
      <c r="J174" s="4" t="s">
        <v>1622</v>
      </c>
      <c r="K174" s="6" t="s">
        <v>326</v>
      </c>
      <c r="L174" s="248">
        <v>45731</v>
      </c>
      <c r="M174" s="6"/>
      <c r="N174" s="6"/>
      <c r="O174" s="22" t="s">
        <v>133</v>
      </c>
      <c r="P174" s="6" t="s">
        <v>54</v>
      </c>
      <c r="Q174" s="251"/>
      <c r="R174"/>
    </row>
    <row r="175" spans="1:18" s="237" customFormat="1" ht="15" customHeight="1" x14ac:dyDescent="0.25">
      <c r="A175" s="6">
        <v>2025</v>
      </c>
      <c r="B175" s="6">
        <v>63</v>
      </c>
      <c r="C175" s="6" t="str">
        <f>B175&amp;"-25"</f>
        <v>63-25</v>
      </c>
      <c r="D175" s="6" t="s">
        <v>207</v>
      </c>
      <c r="E175" s="6" t="s">
        <v>424</v>
      </c>
      <c r="F175" s="230" t="s">
        <v>208</v>
      </c>
      <c r="G175" s="6" t="s">
        <v>425</v>
      </c>
      <c r="H175" s="6">
        <v>2005165336</v>
      </c>
      <c r="I175" s="330" t="s">
        <v>1349</v>
      </c>
      <c r="J175" s="4" t="s">
        <v>1622</v>
      </c>
      <c r="K175" s="6" t="s">
        <v>119</v>
      </c>
      <c r="L175" s="248">
        <v>45726</v>
      </c>
      <c r="M175" s="6"/>
      <c r="N175" s="6"/>
      <c r="O175" s="4" t="s">
        <v>58</v>
      </c>
      <c r="P175" s="6" t="s">
        <v>54</v>
      </c>
      <c r="Q175" s="251"/>
      <c r="R175"/>
    </row>
    <row r="176" spans="1:18" s="237" customFormat="1" x14ac:dyDescent="0.25">
      <c r="A176" s="6">
        <v>2025</v>
      </c>
      <c r="B176" s="6">
        <v>64</v>
      </c>
      <c r="C176" s="6" t="str">
        <f>B176&amp;"-25"</f>
        <v>64-25</v>
      </c>
      <c r="D176" s="6" t="s">
        <v>426</v>
      </c>
      <c r="E176" s="6" t="s">
        <v>427</v>
      </c>
      <c r="F176" s="230" t="s">
        <v>208</v>
      </c>
      <c r="G176" s="6" t="s">
        <v>425</v>
      </c>
      <c r="H176" s="247">
        <v>202518362367</v>
      </c>
      <c r="I176" s="330">
        <v>2750</v>
      </c>
      <c r="J176" s="4" t="s">
        <v>1622</v>
      </c>
      <c r="K176" s="6" t="s">
        <v>119</v>
      </c>
      <c r="L176" s="248">
        <v>45759</v>
      </c>
      <c r="M176" s="6"/>
      <c r="N176" s="6"/>
      <c r="O176" s="4" t="s">
        <v>58</v>
      </c>
      <c r="P176" s="6" t="s">
        <v>54</v>
      </c>
      <c r="Q176" s="251"/>
      <c r="R176"/>
    </row>
    <row r="177" spans="1:18" ht="15" customHeight="1" x14ac:dyDescent="0.25">
      <c r="A177" s="6">
        <v>2025</v>
      </c>
      <c r="B177" s="6">
        <v>65</v>
      </c>
      <c r="C177" s="6" t="str">
        <f>B177&amp;"-25"</f>
        <v>65-25</v>
      </c>
      <c r="D177" s="6" t="s">
        <v>196</v>
      </c>
      <c r="E177" s="6" t="s">
        <v>428</v>
      </c>
      <c r="F177" s="230" t="s">
        <v>196</v>
      </c>
      <c r="G177" s="6" t="s">
        <v>429</v>
      </c>
      <c r="H177" s="247">
        <v>202518362363</v>
      </c>
      <c r="I177" s="330">
        <v>1476.2</v>
      </c>
      <c r="J177" s="4" t="s">
        <v>1618</v>
      </c>
      <c r="K177" s="6"/>
      <c r="L177" s="248">
        <v>45743</v>
      </c>
      <c r="M177" s="263">
        <v>45748</v>
      </c>
      <c r="N177" s="6"/>
      <c r="O177" s="22" t="s">
        <v>49</v>
      </c>
      <c r="P177" s="6" t="s">
        <v>54</v>
      </c>
      <c r="Q177" s="6"/>
      <c r="R177"/>
    </row>
    <row r="178" spans="1:18" ht="15" customHeight="1" x14ac:dyDescent="0.25">
      <c r="A178" s="6">
        <v>2025</v>
      </c>
      <c r="B178" s="6">
        <v>66</v>
      </c>
      <c r="C178" s="6" t="str">
        <f>B178&amp;"-25"</f>
        <v>66-25</v>
      </c>
      <c r="D178" s="6" t="s">
        <v>249</v>
      </c>
      <c r="E178" s="6" t="s">
        <v>430</v>
      </c>
      <c r="F178" s="230" t="s">
        <v>101</v>
      </c>
      <c r="G178" s="6" t="s">
        <v>416</v>
      </c>
      <c r="H178" s="247">
        <v>202518425408</v>
      </c>
      <c r="I178" s="330">
        <v>5517.6</v>
      </c>
      <c r="J178" s="4" t="s">
        <v>1611</v>
      </c>
      <c r="K178" s="6"/>
      <c r="L178" s="387">
        <v>45745</v>
      </c>
      <c r="M178" s="6"/>
      <c r="N178" s="6"/>
      <c r="O178" s="4" t="s">
        <v>58</v>
      </c>
      <c r="P178" s="6" t="s">
        <v>54</v>
      </c>
      <c r="Q178" s="251"/>
      <c r="R178"/>
    </row>
    <row r="179" spans="1:18" ht="15" customHeight="1" x14ac:dyDescent="0.25">
      <c r="A179" s="6">
        <v>2025</v>
      </c>
      <c r="B179" s="6">
        <v>67</v>
      </c>
      <c r="C179" s="6" t="str">
        <f>B179&amp;"-25"</f>
        <v>67-25</v>
      </c>
      <c r="D179" s="6" t="s">
        <v>431</v>
      </c>
      <c r="E179" s="6" t="s">
        <v>432</v>
      </c>
      <c r="F179" s="230" t="s">
        <v>195</v>
      </c>
      <c r="G179" s="6" t="s">
        <v>433</v>
      </c>
      <c r="H179" s="6">
        <v>2005164776</v>
      </c>
      <c r="I179" s="330">
        <v>452.13</v>
      </c>
      <c r="J179" s="4" t="s">
        <v>1618</v>
      </c>
      <c r="K179" s="6"/>
      <c r="L179" s="248">
        <v>45722</v>
      </c>
      <c r="M179" s="6"/>
      <c r="N179" s="6"/>
      <c r="O179" s="6"/>
      <c r="P179" s="6" t="s">
        <v>238</v>
      </c>
      <c r="Q179" s="6"/>
      <c r="R179"/>
    </row>
    <row r="180" spans="1:18" ht="15" customHeight="1" x14ac:dyDescent="0.25">
      <c r="A180" s="6">
        <v>2025</v>
      </c>
      <c r="B180" s="6">
        <v>68</v>
      </c>
      <c r="C180" s="6" t="str">
        <f>B180&amp;"-25"</f>
        <v>68-25</v>
      </c>
      <c r="D180" s="6" t="s">
        <v>434</v>
      </c>
      <c r="E180" s="6" t="s">
        <v>435</v>
      </c>
      <c r="F180" s="230" t="s">
        <v>147</v>
      </c>
      <c r="G180" s="6" t="s">
        <v>425</v>
      </c>
      <c r="H180" s="247">
        <v>202518373599</v>
      </c>
      <c r="I180" s="330">
        <v>3575</v>
      </c>
      <c r="J180" s="4" t="s">
        <v>1611</v>
      </c>
      <c r="K180" s="6"/>
      <c r="L180" s="387">
        <v>45724</v>
      </c>
      <c r="M180" s="6"/>
      <c r="N180" s="6"/>
      <c r="O180" s="22" t="s">
        <v>133</v>
      </c>
      <c r="P180" s="6" t="s">
        <v>54</v>
      </c>
      <c r="Q180" s="251"/>
      <c r="R180"/>
    </row>
    <row r="181" spans="1:18" s="343" customFormat="1" ht="15" customHeight="1" x14ac:dyDescent="0.25">
      <c r="A181" s="8">
        <v>2025</v>
      </c>
      <c r="B181" s="8">
        <v>69</v>
      </c>
      <c r="C181" s="8" t="str">
        <f>B181&amp;"-25"</f>
        <v>69-25</v>
      </c>
      <c r="D181" s="8" t="s">
        <v>436</v>
      </c>
      <c r="E181" s="8" t="s">
        <v>437</v>
      </c>
      <c r="F181" s="351" t="s">
        <v>438</v>
      </c>
      <c r="G181" s="8" t="s">
        <v>425</v>
      </c>
      <c r="H181" s="8">
        <v>2005165190</v>
      </c>
      <c r="I181" s="355">
        <v>2321.61</v>
      </c>
      <c r="J181" s="4" t="s">
        <v>1622</v>
      </c>
      <c r="K181" s="8" t="s">
        <v>326</v>
      </c>
      <c r="L181" s="356">
        <v>45727</v>
      </c>
      <c r="M181" s="8"/>
      <c r="N181" s="8"/>
      <c r="O181" s="8"/>
      <c r="P181" s="8" t="s">
        <v>238</v>
      </c>
      <c r="Q181" s="439"/>
      <c r="R181" s="353"/>
    </row>
    <row r="182" spans="1:18" s="343" customFormat="1" ht="15" customHeight="1" x14ac:dyDescent="0.25">
      <c r="A182" s="8">
        <v>2025</v>
      </c>
      <c r="B182" s="8">
        <v>70</v>
      </c>
      <c r="C182" s="8" t="str">
        <f>B182&amp;"-25"</f>
        <v>70-25</v>
      </c>
      <c r="D182" s="8" t="s">
        <v>201</v>
      </c>
      <c r="E182" s="8" t="s">
        <v>439</v>
      </c>
      <c r="F182" s="351" t="s">
        <v>202</v>
      </c>
      <c r="G182" s="8" t="s">
        <v>425</v>
      </c>
      <c r="H182" s="8">
        <v>2005165323</v>
      </c>
      <c r="I182" s="355">
        <v>655.37</v>
      </c>
      <c r="J182" s="4" t="s">
        <v>1622</v>
      </c>
      <c r="K182" s="8" t="s">
        <v>119</v>
      </c>
      <c r="L182" s="356">
        <v>45728</v>
      </c>
      <c r="M182" s="8"/>
      <c r="N182" s="8"/>
      <c r="O182" s="8"/>
      <c r="P182" s="8" t="s">
        <v>238</v>
      </c>
      <c r="Q182" s="342"/>
      <c r="R182" s="353"/>
    </row>
    <row r="183" spans="1:18" ht="15" customHeight="1" x14ac:dyDescent="0.25">
      <c r="A183" s="11">
        <v>2025</v>
      </c>
      <c r="B183" s="81">
        <v>71</v>
      </c>
      <c r="C183" s="81" t="str">
        <f>B183&amp;"-25"</f>
        <v>71-25</v>
      </c>
      <c r="D183" s="81" t="s">
        <v>440</v>
      </c>
      <c r="E183" s="81" t="s">
        <v>441</v>
      </c>
      <c r="F183" s="81"/>
      <c r="G183" s="6" t="s">
        <v>296</v>
      </c>
      <c r="H183" s="85"/>
      <c r="I183" s="326">
        <v>3738</v>
      </c>
      <c r="J183" s="4" t="s">
        <v>1611</v>
      </c>
      <c r="K183" s="81"/>
      <c r="L183" s="84">
        <v>45755</v>
      </c>
      <c r="M183" s="81"/>
      <c r="N183" s="81"/>
      <c r="O183" s="81"/>
      <c r="P183" s="11" t="s">
        <v>24</v>
      </c>
      <c r="Q183" s="251"/>
      <c r="R183"/>
    </row>
    <row r="184" spans="1:18" ht="14.45" customHeight="1" x14ac:dyDescent="0.25">
      <c r="A184" s="11">
        <v>2025</v>
      </c>
      <c r="B184" s="81">
        <v>72</v>
      </c>
      <c r="C184" s="81" t="str">
        <f>B184&amp;"-25"</f>
        <v>72-25</v>
      </c>
      <c r="D184" s="81" t="s">
        <v>440</v>
      </c>
      <c r="E184" s="81" t="s">
        <v>442</v>
      </c>
      <c r="F184" s="81"/>
      <c r="G184" s="6" t="s">
        <v>296</v>
      </c>
      <c r="H184" s="85"/>
      <c r="I184" s="326">
        <v>3861</v>
      </c>
      <c r="J184" s="4" t="s">
        <v>1611</v>
      </c>
      <c r="K184" s="81"/>
      <c r="L184" s="84"/>
      <c r="M184" s="81"/>
      <c r="N184" s="81"/>
      <c r="O184" s="81"/>
      <c r="P184" s="11" t="s">
        <v>24</v>
      </c>
      <c r="Q184" s="251"/>
      <c r="R184"/>
    </row>
    <row r="185" spans="1:18" ht="15" customHeight="1" x14ac:dyDescent="0.25">
      <c r="A185" s="11">
        <v>2025</v>
      </c>
      <c r="B185" s="81">
        <v>73</v>
      </c>
      <c r="C185" s="81" t="str">
        <f>B185&amp;"-25"</f>
        <v>73-25</v>
      </c>
      <c r="D185" s="81" t="s">
        <v>443</v>
      </c>
      <c r="E185" s="81" t="s">
        <v>444</v>
      </c>
      <c r="F185" s="81"/>
      <c r="G185" s="6" t="s">
        <v>296</v>
      </c>
      <c r="H185" s="85"/>
      <c r="I185" s="326">
        <v>792</v>
      </c>
      <c r="J185" s="4" t="s">
        <v>1611</v>
      </c>
      <c r="K185" s="81"/>
      <c r="L185" s="84">
        <v>45729</v>
      </c>
      <c r="M185" s="81"/>
      <c r="N185" s="81"/>
      <c r="O185" s="81"/>
      <c r="P185" s="11" t="s">
        <v>24</v>
      </c>
      <c r="Q185" s="251"/>
      <c r="R185"/>
    </row>
    <row r="186" spans="1:18" ht="15" customHeight="1" x14ac:dyDescent="0.25">
      <c r="A186" s="11">
        <v>2025</v>
      </c>
      <c r="B186" s="81">
        <v>74</v>
      </c>
      <c r="C186" s="81" t="str">
        <f>B186&amp;"-25"</f>
        <v>74-25</v>
      </c>
      <c r="D186" s="81" t="s">
        <v>272</v>
      </c>
      <c r="E186" s="81" t="s">
        <v>445</v>
      </c>
      <c r="F186" s="81" t="s">
        <v>262</v>
      </c>
      <c r="G186" s="6" t="s">
        <v>296</v>
      </c>
      <c r="H186" s="85"/>
      <c r="I186" s="326">
        <v>72672</v>
      </c>
      <c r="J186" s="4" t="s">
        <v>1611</v>
      </c>
      <c r="K186" s="81"/>
      <c r="L186" s="84">
        <v>45733</v>
      </c>
      <c r="M186" s="81"/>
      <c r="N186" s="81"/>
      <c r="O186" s="81"/>
      <c r="P186" s="81" t="s">
        <v>24</v>
      </c>
      <c r="Q186" s="251"/>
      <c r="R186"/>
    </row>
    <row r="187" spans="1:18" ht="16.5" customHeight="1" x14ac:dyDescent="0.3">
      <c r="A187" s="6">
        <v>2025</v>
      </c>
      <c r="B187" s="81">
        <v>75</v>
      </c>
      <c r="C187" s="81" t="str">
        <f>B187&amp;"-25"</f>
        <v>75-25</v>
      </c>
      <c r="D187" s="81" t="s">
        <v>446</v>
      </c>
      <c r="E187" s="256" t="s">
        <v>447</v>
      </c>
      <c r="F187" s="6" t="s">
        <v>101</v>
      </c>
      <c r="G187" s="81" t="s">
        <v>425</v>
      </c>
      <c r="H187" s="232">
        <v>202518387687</v>
      </c>
      <c r="I187" s="326">
        <v>462</v>
      </c>
      <c r="J187" s="4" t="s">
        <v>1611</v>
      </c>
      <c r="K187" s="81"/>
      <c r="L187" s="84">
        <v>45733</v>
      </c>
      <c r="M187" s="81"/>
      <c r="N187" s="81"/>
      <c r="O187" s="4" t="s">
        <v>58</v>
      </c>
      <c r="P187" s="81" t="s">
        <v>54</v>
      </c>
      <c r="Q187" s="251"/>
      <c r="R187"/>
    </row>
    <row r="188" spans="1:18" s="343" customFormat="1" ht="15" customHeight="1" x14ac:dyDescent="0.25">
      <c r="A188" s="8">
        <v>2025</v>
      </c>
      <c r="B188" s="83">
        <v>76</v>
      </c>
      <c r="C188" s="83" t="str">
        <f>B188&amp;"-25"</f>
        <v>76-25</v>
      </c>
      <c r="D188" s="83" t="s">
        <v>448</v>
      </c>
      <c r="E188" s="83" t="s">
        <v>449</v>
      </c>
      <c r="F188" s="83" t="s">
        <v>450</v>
      </c>
      <c r="G188" s="83" t="s">
        <v>451</v>
      </c>
      <c r="H188" s="357">
        <v>2005167665</v>
      </c>
      <c r="I188" s="358">
        <v>7416.75</v>
      </c>
      <c r="J188" s="4" t="s">
        <v>1622</v>
      </c>
      <c r="K188" s="83" t="s">
        <v>798</v>
      </c>
      <c r="L188" s="359">
        <v>45750</v>
      </c>
      <c r="M188" s="83"/>
      <c r="N188" s="83"/>
      <c r="O188" s="360" t="s">
        <v>133</v>
      </c>
      <c r="P188" s="83" t="s">
        <v>238</v>
      </c>
      <c r="Q188" s="342"/>
      <c r="R188" s="353"/>
    </row>
    <row r="189" spans="1:18" s="343" customFormat="1" ht="15" customHeight="1" x14ac:dyDescent="0.25">
      <c r="A189" s="8">
        <v>2025</v>
      </c>
      <c r="B189" s="83">
        <v>77</v>
      </c>
      <c r="C189" s="83" t="str">
        <f>B189&amp;"-25"</f>
        <v>77-25</v>
      </c>
      <c r="D189" s="83" t="s">
        <v>382</v>
      </c>
      <c r="E189" s="83" t="s">
        <v>452</v>
      </c>
      <c r="F189" s="83" t="s">
        <v>27</v>
      </c>
      <c r="G189" s="83" t="s">
        <v>453</v>
      </c>
      <c r="H189" s="357">
        <v>2005167692</v>
      </c>
      <c r="I189" s="358">
        <v>2842.4</v>
      </c>
      <c r="J189" s="4" t="s">
        <v>1618</v>
      </c>
      <c r="K189" s="83"/>
      <c r="L189" s="359">
        <v>45750</v>
      </c>
      <c r="M189" s="83"/>
      <c r="N189" s="83"/>
      <c r="O189" s="360" t="s">
        <v>133</v>
      </c>
      <c r="P189" s="83" t="s">
        <v>238</v>
      </c>
      <c r="Q189" s="361"/>
      <c r="R189" s="353"/>
    </row>
    <row r="190" spans="1:18" ht="15" customHeight="1" x14ac:dyDescent="0.25">
      <c r="A190" s="6">
        <v>2025</v>
      </c>
      <c r="B190" s="81">
        <v>78</v>
      </c>
      <c r="C190" s="81" t="str">
        <f>B190&amp;"-25"</f>
        <v>78-25</v>
      </c>
      <c r="D190" s="81" t="s">
        <v>454</v>
      </c>
      <c r="E190" s="81" t="s">
        <v>455</v>
      </c>
      <c r="F190" s="81" t="s">
        <v>456</v>
      </c>
      <c r="G190" s="81" t="s">
        <v>457</v>
      </c>
      <c r="H190" s="85" t="s">
        <v>458</v>
      </c>
      <c r="I190" s="326">
        <v>330</v>
      </c>
      <c r="J190" s="4" t="s">
        <v>1618</v>
      </c>
      <c r="K190" s="81"/>
      <c r="L190" s="84">
        <v>45754</v>
      </c>
      <c r="M190" s="234">
        <v>45757</v>
      </c>
      <c r="N190" s="81"/>
      <c r="O190" s="22" t="s">
        <v>133</v>
      </c>
      <c r="P190" s="6" t="s">
        <v>54</v>
      </c>
      <c r="Q190" s="251"/>
      <c r="R190"/>
    </row>
    <row r="191" spans="1:18" ht="14.45" customHeight="1" x14ac:dyDescent="0.25">
      <c r="A191" s="6">
        <v>2025</v>
      </c>
      <c r="B191" s="81">
        <v>79</v>
      </c>
      <c r="C191" s="81" t="str">
        <f>B191&amp;"-25"</f>
        <v>79-25</v>
      </c>
      <c r="D191" s="81" t="s">
        <v>459</v>
      </c>
      <c r="E191" s="81" t="s">
        <v>460</v>
      </c>
      <c r="F191" s="4" t="s">
        <v>147</v>
      </c>
      <c r="G191" s="81" t="s">
        <v>429</v>
      </c>
      <c r="H191" s="232">
        <v>202518458014</v>
      </c>
      <c r="I191" s="326">
        <v>2189</v>
      </c>
      <c r="J191" s="4" t="s">
        <v>1618</v>
      </c>
      <c r="K191" s="81"/>
      <c r="L191" s="84">
        <v>45755</v>
      </c>
      <c r="M191" s="234">
        <v>45790</v>
      </c>
      <c r="N191" s="81"/>
      <c r="O191" s="22" t="s">
        <v>133</v>
      </c>
      <c r="P191" s="6" t="s">
        <v>54</v>
      </c>
      <c r="Q191" s="81"/>
      <c r="R191"/>
    </row>
    <row r="192" spans="1:18" ht="16.5" customHeight="1" x14ac:dyDescent="0.3">
      <c r="A192" s="6">
        <v>2025</v>
      </c>
      <c r="B192" s="81">
        <v>80</v>
      </c>
      <c r="C192" s="81" t="str">
        <f>B192&amp;"-25"</f>
        <v>80-25</v>
      </c>
      <c r="D192" s="81" t="s">
        <v>461</v>
      </c>
      <c r="E192" s="81" t="s">
        <v>462</v>
      </c>
      <c r="F192" s="230" t="s">
        <v>101</v>
      </c>
      <c r="G192" s="81" t="s">
        <v>429</v>
      </c>
      <c r="H192" s="264">
        <v>202518466220</v>
      </c>
      <c r="I192" s="326">
        <v>1903</v>
      </c>
      <c r="J192" s="4" t="s">
        <v>1618</v>
      </c>
      <c r="K192" s="81"/>
      <c r="L192" s="84">
        <v>45771</v>
      </c>
      <c r="M192" s="234">
        <v>45787</v>
      </c>
      <c r="N192" s="81"/>
      <c r="O192" s="22" t="s">
        <v>102</v>
      </c>
      <c r="P192" s="6" t="s">
        <v>54</v>
      </c>
      <c r="Q192" s="81"/>
      <c r="R192"/>
    </row>
    <row r="193" spans="1:18" s="237" customFormat="1" ht="16.5" customHeight="1" x14ac:dyDescent="0.3">
      <c r="A193" s="6">
        <v>2025</v>
      </c>
      <c r="B193" s="81">
        <v>81</v>
      </c>
      <c r="C193" s="81" t="str">
        <f>B193&amp;"-25"</f>
        <v>81-25</v>
      </c>
      <c r="D193" s="81" t="s">
        <v>463</v>
      </c>
      <c r="E193" s="81" t="s">
        <v>462</v>
      </c>
      <c r="F193" s="230" t="s">
        <v>101</v>
      </c>
      <c r="G193" s="81" t="s">
        <v>464</v>
      </c>
      <c r="H193" s="264">
        <v>202518478837</v>
      </c>
      <c r="I193" s="326">
        <v>1183</v>
      </c>
      <c r="J193" s="4" t="s">
        <v>1618</v>
      </c>
      <c r="K193" s="81"/>
      <c r="L193" s="84">
        <v>45773</v>
      </c>
      <c r="M193" s="81"/>
      <c r="N193" s="81"/>
      <c r="O193" s="22" t="s">
        <v>102</v>
      </c>
      <c r="P193" s="6" t="s">
        <v>54</v>
      </c>
      <c r="Q193" s="81"/>
      <c r="R193"/>
    </row>
    <row r="194" spans="1:18" s="237" customFormat="1" ht="15" customHeight="1" x14ac:dyDescent="0.25">
      <c r="A194" s="6">
        <v>2025</v>
      </c>
      <c r="B194" s="81">
        <v>82</v>
      </c>
      <c r="C194" s="81" t="str">
        <f>B194&amp;"-25"</f>
        <v>82-25</v>
      </c>
      <c r="D194" s="81" t="s">
        <v>465</v>
      </c>
      <c r="E194" s="81" t="s">
        <v>248</v>
      </c>
      <c r="F194" s="230" t="s">
        <v>101</v>
      </c>
      <c r="G194" s="81" t="s">
        <v>464</v>
      </c>
      <c r="H194" s="232">
        <v>202518478857</v>
      </c>
      <c r="I194" s="326">
        <v>589.33000000000004</v>
      </c>
      <c r="J194" s="4" t="s">
        <v>1618</v>
      </c>
      <c r="K194" s="81"/>
      <c r="L194" s="84">
        <v>45773</v>
      </c>
      <c r="M194" s="81"/>
      <c r="N194" s="81"/>
      <c r="O194" s="22" t="s">
        <v>102</v>
      </c>
      <c r="P194" s="6" t="s">
        <v>54</v>
      </c>
      <c r="Q194" s="81"/>
      <c r="R194"/>
    </row>
    <row r="195" spans="1:18" ht="15" customHeight="1" x14ac:dyDescent="0.25">
      <c r="A195" s="6">
        <v>2025</v>
      </c>
      <c r="B195" s="81">
        <v>83</v>
      </c>
      <c r="C195" s="81" t="str">
        <f>B195&amp;"-25"</f>
        <v>83-25</v>
      </c>
      <c r="D195" s="81" t="s">
        <v>466</v>
      </c>
      <c r="E195" s="81" t="s">
        <v>466</v>
      </c>
      <c r="F195" s="230" t="s">
        <v>101</v>
      </c>
      <c r="G195" s="81" t="s">
        <v>464</v>
      </c>
      <c r="H195" s="232">
        <v>202518478646</v>
      </c>
      <c r="I195" s="326">
        <v>8474</v>
      </c>
      <c r="J195" s="4" t="s">
        <v>1611</v>
      </c>
      <c r="K195" s="81"/>
      <c r="L195" s="84">
        <v>45760</v>
      </c>
      <c r="M195" s="81"/>
      <c r="N195" s="81"/>
      <c r="O195" s="4" t="s">
        <v>58</v>
      </c>
      <c r="P195" s="6" t="s">
        <v>54</v>
      </c>
      <c r="Q195" s="251"/>
      <c r="R195"/>
    </row>
    <row r="196" spans="1:18" ht="15" customHeight="1" x14ac:dyDescent="0.25">
      <c r="A196" s="6">
        <v>2025</v>
      </c>
      <c r="B196" s="81">
        <v>84</v>
      </c>
      <c r="C196" s="81" t="str">
        <f>B196&amp;"-25"</f>
        <v>84-25</v>
      </c>
      <c r="D196" s="81" t="s">
        <v>467</v>
      </c>
      <c r="E196" s="81" t="s">
        <v>468</v>
      </c>
      <c r="F196" s="230" t="s">
        <v>195</v>
      </c>
      <c r="G196" s="81" t="s">
        <v>429</v>
      </c>
      <c r="H196" s="232">
        <v>202518478714</v>
      </c>
      <c r="I196" s="326">
        <v>20240</v>
      </c>
      <c r="J196" s="4" t="s">
        <v>1618</v>
      </c>
      <c r="K196" s="81"/>
      <c r="L196" s="84">
        <v>45764</v>
      </c>
      <c r="M196" s="234">
        <v>45785</v>
      </c>
      <c r="N196" s="81"/>
      <c r="O196" s="22" t="s">
        <v>133</v>
      </c>
      <c r="P196" s="6" t="s">
        <v>54</v>
      </c>
      <c r="Q196" s="198"/>
      <c r="R196"/>
    </row>
    <row r="197" spans="1:18" x14ac:dyDescent="0.25">
      <c r="A197" s="6">
        <v>2025</v>
      </c>
      <c r="B197" s="81">
        <v>85</v>
      </c>
      <c r="C197" s="81" t="str">
        <f>B197&amp;"-25"</f>
        <v>85-25</v>
      </c>
      <c r="D197" s="81" t="s">
        <v>140</v>
      </c>
      <c r="E197" s="81" t="s">
        <v>469</v>
      </c>
      <c r="F197" s="81" t="s">
        <v>469</v>
      </c>
      <c r="G197" s="81"/>
      <c r="H197" s="232">
        <v>202518478716</v>
      </c>
      <c r="I197" s="326">
        <v>2169.1999999999998</v>
      </c>
      <c r="J197" s="4" t="s">
        <v>1611</v>
      </c>
      <c r="K197" s="81"/>
      <c r="L197" s="84">
        <v>45792</v>
      </c>
      <c r="M197" s="81"/>
      <c r="N197" s="81"/>
      <c r="O197" s="22" t="s">
        <v>133</v>
      </c>
      <c r="P197" s="6" t="s">
        <v>54</v>
      </c>
      <c r="Q197" s="251"/>
      <c r="R197"/>
    </row>
    <row r="198" spans="1:18" ht="15" customHeight="1" x14ac:dyDescent="0.25">
      <c r="A198" s="11">
        <v>2025</v>
      </c>
      <c r="B198" s="81">
        <v>86</v>
      </c>
      <c r="C198" s="81" t="str">
        <f>B198&amp;"-25"</f>
        <v>86-25</v>
      </c>
      <c r="D198" s="81" t="s">
        <v>470</v>
      </c>
      <c r="E198" s="81" t="s">
        <v>471</v>
      </c>
      <c r="F198" s="81" t="s">
        <v>262</v>
      </c>
      <c r="G198" s="81" t="s">
        <v>1350</v>
      </c>
      <c r="H198" s="85"/>
      <c r="I198" s="326">
        <v>6564.8</v>
      </c>
      <c r="J198" s="4" t="s">
        <v>1618</v>
      </c>
      <c r="K198" s="81"/>
      <c r="L198" s="84">
        <v>45793</v>
      </c>
      <c r="M198" s="81"/>
      <c r="N198" s="81"/>
      <c r="O198" s="22" t="s">
        <v>133</v>
      </c>
      <c r="P198" s="81" t="s">
        <v>24</v>
      </c>
      <c r="Q198" s="251"/>
      <c r="R198"/>
    </row>
    <row r="199" spans="1:18" ht="16.5" customHeight="1" x14ac:dyDescent="0.3">
      <c r="A199" s="6">
        <v>2025</v>
      </c>
      <c r="B199" s="81">
        <v>87</v>
      </c>
      <c r="C199" s="81" t="str">
        <f>B199&amp;"-25"</f>
        <v>87-25</v>
      </c>
      <c r="D199" s="81" t="s">
        <v>472</v>
      </c>
      <c r="E199" s="277" t="s">
        <v>473</v>
      </c>
      <c r="F199" s="81" t="s">
        <v>132</v>
      </c>
      <c r="G199" s="81" t="s">
        <v>474</v>
      </c>
      <c r="H199" s="232">
        <v>202518494622</v>
      </c>
      <c r="I199" s="326">
        <v>1425.6</v>
      </c>
      <c r="J199" s="4" t="s">
        <v>1622</v>
      </c>
      <c r="K199" s="81" t="s">
        <v>22</v>
      </c>
      <c r="L199" s="84">
        <v>45764</v>
      </c>
      <c r="M199" s="81"/>
      <c r="N199" s="81"/>
      <c r="O199" s="4" t="s">
        <v>58</v>
      </c>
      <c r="P199" s="81" t="s">
        <v>54</v>
      </c>
      <c r="Q199" s="251"/>
      <c r="R199"/>
    </row>
    <row r="200" spans="1:18" ht="16.5" customHeight="1" x14ac:dyDescent="0.3">
      <c r="A200" s="6">
        <v>2025</v>
      </c>
      <c r="B200" s="81">
        <v>88</v>
      </c>
      <c r="C200" s="81" t="str">
        <f>B200&amp;"-25"</f>
        <v>88-25</v>
      </c>
      <c r="D200" s="81" t="s">
        <v>475</v>
      </c>
      <c r="E200" s="277" t="s">
        <v>476</v>
      </c>
      <c r="F200" s="81" t="s">
        <v>101</v>
      </c>
      <c r="G200" s="81" t="s">
        <v>474</v>
      </c>
      <c r="H200" s="232">
        <v>202518493862</v>
      </c>
      <c r="I200" s="326">
        <v>930.6</v>
      </c>
      <c r="J200" s="4" t="s">
        <v>1622</v>
      </c>
      <c r="K200" s="81" t="s">
        <v>119</v>
      </c>
      <c r="L200" s="84">
        <v>45794</v>
      </c>
      <c r="M200" s="81"/>
      <c r="N200" s="81"/>
      <c r="O200" s="4" t="s">
        <v>58</v>
      </c>
      <c r="P200" s="81" t="s">
        <v>54</v>
      </c>
      <c r="Q200" s="251"/>
      <c r="R200"/>
    </row>
    <row r="201" spans="1:18" ht="15" customHeight="1" x14ac:dyDescent="0.25">
      <c r="A201" s="6">
        <v>2025</v>
      </c>
      <c r="B201" s="81">
        <v>89</v>
      </c>
      <c r="C201" s="81" t="str">
        <f>B201&amp;"-25"</f>
        <v>89-25</v>
      </c>
      <c r="D201" s="81" t="s">
        <v>477</v>
      </c>
      <c r="E201" s="81" t="s">
        <v>478</v>
      </c>
      <c r="F201" s="230" t="s">
        <v>101</v>
      </c>
      <c r="G201" s="81" t="s">
        <v>479</v>
      </c>
      <c r="H201" s="232">
        <v>202518498846</v>
      </c>
      <c r="I201" s="326">
        <v>335.5</v>
      </c>
      <c r="J201" s="4" t="s">
        <v>1618</v>
      </c>
      <c r="K201" s="81"/>
      <c r="L201" s="84">
        <v>45769</v>
      </c>
      <c r="M201" s="234">
        <v>45771</v>
      </c>
      <c r="N201" s="81"/>
      <c r="O201" s="81" t="s">
        <v>480</v>
      </c>
      <c r="P201" s="6" t="s">
        <v>54</v>
      </c>
      <c r="Q201" s="81"/>
      <c r="R201"/>
    </row>
    <row r="202" spans="1:18" ht="15" customHeight="1" x14ac:dyDescent="0.25">
      <c r="A202" s="11">
        <v>2025</v>
      </c>
      <c r="B202" s="213">
        <v>90</v>
      </c>
      <c r="C202" s="213" t="str">
        <f>B202&amp;"-25"</f>
        <v>90-25</v>
      </c>
      <c r="D202" s="213" t="s">
        <v>481</v>
      </c>
      <c r="E202" s="213" t="s">
        <v>482</v>
      </c>
      <c r="F202" s="213" t="s">
        <v>213</v>
      </c>
      <c r="G202" s="213" t="s">
        <v>483</v>
      </c>
      <c r="H202" s="187"/>
      <c r="I202" s="332">
        <v>96968</v>
      </c>
      <c r="J202" s="4" t="s">
        <v>1615</v>
      </c>
      <c r="K202" s="213"/>
      <c r="L202" s="289"/>
      <c r="M202" s="213"/>
      <c r="N202" s="213"/>
      <c r="O202" s="213"/>
      <c r="P202" s="213" t="s">
        <v>24</v>
      </c>
      <c r="Q202" s="251"/>
      <c r="R202" s="299"/>
    </row>
    <row r="203" spans="1:18" s="343" customFormat="1" ht="15" customHeight="1" x14ac:dyDescent="0.25">
      <c r="A203" s="8">
        <v>2025</v>
      </c>
      <c r="B203" s="83">
        <v>91</v>
      </c>
      <c r="C203" s="83" t="str">
        <f>B203&amp;"-25"</f>
        <v>91-25</v>
      </c>
      <c r="D203" s="83" t="s">
        <v>485</v>
      </c>
      <c r="E203" s="83" t="s">
        <v>486</v>
      </c>
      <c r="F203" s="83"/>
      <c r="G203" s="83" t="s">
        <v>451</v>
      </c>
      <c r="H203" s="357">
        <v>2005176266</v>
      </c>
      <c r="I203" s="358">
        <v>10918</v>
      </c>
      <c r="J203" s="4" t="s">
        <v>1622</v>
      </c>
      <c r="K203" s="83" t="s">
        <v>798</v>
      </c>
      <c r="L203" s="362">
        <v>45774</v>
      </c>
      <c r="M203" s="83"/>
      <c r="N203" s="83"/>
      <c r="O203" s="83"/>
      <c r="P203" s="83" t="s">
        <v>238</v>
      </c>
      <c r="Q203" s="342"/>
      <c r="R203" s="353"/>
    </row>
    <row r="204" spans="1:18" s="343" customFormat="1" ht="15" customHeight="1" x14ac:dyDescent="0.25">
      <c r="A204" s="8">
        <v>2025</v>
      </c>
      <c r="B204" s="83">
        <v>92</v>
      </c>
      <c r="C204" s="83" t="str">
        <f>B204&amp;"-25"</f>
        <v>92-25</v>
      </c>
      <c r="D204" s="83" t="s">
        <v>211</v>
      </c>
      <c r="E204" s="83" t="s">
        <v>211</v>
      </c>
      <c r="F204" s="83" t="s">
        <v>487</v>
      </c>
      <c r="G204" s="83" t="s">
        <v>488</v>
      </c>
      <c r="H204" s="357">
        <v>2005169909</v>
      </c>
      <c r="I204" s="358">
        <v>5659.23</v>
      </c>
      <c r="J204" s="4" t="s">
        <v>1622</v>
      </c>
      <c r="K204" s="83" t="s">
        <v>285</v>
      </c>
      <c r="L204" s="362">
        <v>45771</v>
      </c>
      <c r="M204" s="83"/>
      <c r="N204" s="83"/>
      <c r="O204" s="83"/>
      <c r="P204" s="83" t="s">
        <v>238</v>
      </c>
      <c r="Q204" s="342"/>
      <c r="R204" s="353"/>
    </row>
    <row r="205" spans="1:18" s="294" customFormat="1" x14ac:dyDescent="0.25">
      <c r="A205" s="290">
        <v>2025</v>
      </c>
      <c r="B205" s="291">
        <v>93</v>
      </c>
      <c r="C205" s="291" t="str">
        <f>B205&amp;"-25"</f>
        <v>93-25</v>
      </c>
      <c r="D205" s="291" t="s">
        <v>489</v>
      </c>
      <c r="E205" s="291" t="s">
        <v>1316</v>
      </c>
      <c r="F205" s="291" t="s">
        <v>489</v>
      </c>
      <c r="G205" s="291" t="s">
        <v>490</v>
      </c>
      <c r="H205" s="292"/>
      <c r="I205" s="328"/>
      <c r="J205" s="4" t="s">
        <v>1622</v>
      </c>
      <c r="K205" s="291" t="s">
        <v>106</v>
      </c>
      <c r="L205" s="293"/>
      <c r="M205" s="291"/>
      <c r="N205" s="291"/>
      <c r="O205" s="291"/>
      <c r="P205" s="291" t="s">
        <v>238</v>
      </c>
      <c r="Q205" s="296"/>
      <c r="R205" s="297"/>
    </row>
    <row r="206" spans="1:18" s="294" customFormat="1" ht="15" customHeight="1" x14ac:dyDescent="0.25">
      <c r="A206" s="290">
        <v>2025</v>
      </c>
      <c r="B206" s="291">
        <v>94</v>
      </c>
      <c r="C206" s="291" t="str">
        <f>B206&amp;"-25"</f>
        <v>94-25</v>
      </c>
      <c r="D206" s="291" t="s">
        <v>104</v>
      </c>
      <c r="E206" s="291" t="s">
        <v>104</v>
      </c>
      <c r="F206" s="291" t="s">
        <v>491</v>
      </c>
      <c r="G206" s="291" t="s">
        <v>484</v>
      </c>
      <c r="H206" s="456">
        <v>2005171684</v>
      </c>
      <c r="I206" s="328">
        <v>15276.8</v>
      </c>
      <c r="J206" s="4" t="s">
        <v>1622</v>
      </c>
      <c r="K206" s="291" t="s">
        <v>106</v>
      </c>
      <c r="L206" s="293">
        <v>45787</v>
      </c>
      <c r="M206" s="291"/>
      <c r="N206" s="291"/>
      <c r="O206" s="22" t="s">
        <v>133</v>
      </c>
      <c r="P206" s="291" t="s">
        <v>238</v>
      </c>
      <c r="Q206" s="296"/>
      <c r="R206" s="297"/>
    </row>
    <row r="207" spans="1:18" ht="15" customHeight="1" x14ac:dyDescent="0.25">
      <c r="A207" s="6">
        <v>2025</v>
      </c>
      <c r="B207" s="81">
        <v>95</v>
      </c>
      <c r="C207" s="81" t="str">
        <f>B207&amp;"-25"</f>
        <v>95-25</v>
      </c>
      <c r="D207" s="81" t="s">
        <v>248</v>
      </c>
      <c r="E207" s="81" t="s">
        <v>492</v>
      </c>
      <c r="F207" s="230" t="s">
        <v>101</v>
      </c>
      <c r="G207" s="81" t="s">
        <v>429</v>
      </c>
      <c r="H207" s="232">
        <v>202518544907</v>
      </c>
      <c r="I207" s="326">
        <v>616</v>
      </c>
      <c r="J207" s="4" t="s">
        <v>1618</v>
      </c>
      <c r="K207" s="81"/>
      <c r="L207" s="84">
        <v>45795</v>
      </c>
      <c r="M207" s="234">
        <v>45812</v>
      </c>
      <c r="N207" s="234">
        <v>45846</v>
      </c>
      <c r="O207" s="22" t="s">
        <v>102</v>
      </c>
      <c r="P207" s="6" t="s">
        <v>54</v>
      </c>
      <c r="Q207" s="81"/>
      <c r="R207"/>
    </row>
    <row r="208" spans="1:18" ht="14.45" customHeight="1" x14ac:dyDescent="0.25">
      <c r="A208" s="6">
        <v>2025</v>
      </c>
      <c r="B208" s="81">
        <v>96</v>
      </c>
      <c r="C208" s="81" t="str">
        <f>B208&amp;"-25"</f>
        <v>96-25</v>
      </c>
      <c r="D208" s="81" t="s">
        <v>248</v>
      </c>
      <c r="E208" s="81" t="s">
        <v>493</v>
      </c>
      <c r="F208" s="230" t="s">
        <v>101</v>
      </c>
      <c r="G208" s="81" t="s">
        <v>429</v>
      </c>
      <c r="H208" s="232">
        <v>202518540005</v>
      </c>
      <c r="I208" s="326">
        <v>843.7</v>
      </c>
      <c r="J208" s="4" t="s">
        <v>1618</v>
      </c>
      <c r="K208" s="81"/>
      <c r="L208" s="84">
        <v>45798</v>
      </c>
      <c r="M208" s="234">
        <v>45812</v>
      </c>
      <c r="N208" s="234">
        <v>45846</v>
      </c>
      <c r="O208" s="22" t="s">
        <v>102</v>
      </c>
      <c r="P208" s="6" t="s">
        <v>54</v>
      </c>
      <c r="Q208" s="81"/>
      <c r="R208"/>
    </row>
    <row r="209" spans="1:18" s="294" customFormat="1" ht="15" customHeight="1" x14ac:dyDescent="0.25">
      <c r="A209" s="290">
        <v>2025</v>
      </c>
      <c r="B209" s="291">
        <v>97</v>
      </c>
      <c r="C209" s="291" t="str">
        <f>B209&amp;"-25"</f>
        <v>97-25</v>
      </c>
      <c r="D209" s="291" t="s">
        <v>494</v>
      </c>
      <c r="E209" s="291" t="s">
        <v>494</v>
      </c>
      <c r="F209" s="291" t="s">
        <v>494</v>
      </c>
      <c r="G209" s="291" t="s">
        <v>488</v>
      </c>
      <c r="H209" s="292">
        <v>2005170254</v>
      </c>
      <c r="I209" s="328">
        <v>921.8</v>
      </c>
      <c r="J209" s="4" t="s">
        <v>1618</v>
      </c>
      <c r="K209" s="291"/>
      <c r="L209" s="293">
        <v>45774</v>
      </c>
      <c r="M209" s="291"/>
      <c r="N209" s="291"/>
      <c r="O209" s="81" t="s">
        <v>480</v>
      </c>
      <c r="P209" s="291" t="s">
        <v>238</v>
      </c>
      <c r="Q209" s="296"/>
      <c r="R209" s="297"/>
    </row>
    <row r="210" spans="1:18" s="237" customFormat="1" ht="15" customHeight="1" x14ac:dyDescent="0.25">
      <c r="A210" s="6">
        <v>2025</v>
      </c>
      <c r="B210" s="81">
        <v>98</v>
      </c>
      <c r="C210" s="81" t="str">
        <f>B210&amp;"-25"</f>
        <v>98-25</v>
      </c>
      <c r="D210" s="81" t="s">
        <v>194</v>
      </c>
      <c r="E210" s="81" t="s">
        <v>495</v>
      </c>
      <c r="F210" s="6" t="s">
        <v>195</v>
      </c>
      <c r="G210" s="81" t="s">
        <v>488</v>
      </c>
      <c r="H210" s="232">
        <v>202518519451</v>
      </c>
      <c r="I210" s="326">
        <v>1226.4000000000001</v>
      </c>
      <c r="J210" s="4" t="s">
        <v>1622</v>
      </c>
      <c r="K210" s="81" t="s">
        <v>119</v>
      </c>
      <c r="L210" s="84">
        <v>45775</v>
      </c>
      <c r="M210" s="81"/>
      <c r="N210" s="81"/>
      <c r="O210" s="81" t="s">
        <v>371</v>
      </c>
      <c r="P210" s="6" t="s">
        <v>54</v>
      </c>
      <c r="Q210" s="251"/>
      <c r="R210"/>
    </row>
    <row r="211" spans="1:18" s="237" customFormat="1" x14ac:dyDescent="0.25">
      <c r="A211" s="6">
        <v>2025</v>
      </c>
      <c r="B211" s="81">
        <v>99</v>
      </c>
      <c r="C211" s="81" t="str">
        <f>B211&amp;"-25"</f>
        <v>99-25</v>
      </c>
      <c r="D211" s="81" t="s">
        <v>496</v>
      </c>
      <c r="E211" s="81" t="s">
        <v>497</v>
      </c>
      <c r="F211" s="81" t="s">
        <v>496</v>
      </c>
      <c r="G211" s="81" t="s">
        <v>498</v>
      </c>
      <c r="H211" s="232">
        <v>202518548074</v>
      </c>
      <c r="I211" s="326">
        <v>3300</v>
      </c>
      <c r="J211" s="4" t="s">
        <v>1622</v>
      </c>
      <c r="K211" s="81" t="s">
        <v>285</v>
      </c>
      <c r="L211" s="84">
        <v>45799</v>
      </c>
      <c r="M211" s="81"/>
      <c r="N211" s="81"/>
      <c r="O211" s="4" t="s">
        <v>58</v>
      </c>
      <c r="P211" s="6" t="s">
        <v>54</v>
      </c>
      <c r="Q211" s="251"/>
      <c r="R211"/>
    </row>
    <row r="212" spans="1:18" ht="14.45" customHeight="1" x14ac:dyDescent="0.25">
      <c r="A212" s="11">
        <v>2025</v>
      </c>
      <c r="B212" s="81">
        <v>100</v>
      </c>
      <c r="C212" s="81" t="str">
        <f>B212&amp;"-25"</f>
        <v>100-25</v>
      </c>
      <c r="D212" s="81" t="s">
        <v>499</v>
      </c>
      <c r="E212" s="81"/>
      <c r="F212" s="81"/>
      <c r="G212" s="81"/>
      <c r="H212" s="85"/>
      <c r="I212" s="326"/>
      <c r="J212" s="4" t="s">
        <v>1618</v>
      </c>
      <c r="K212" s="81"/>
      <c r="L212" s="84"/>
      <c r="M212" s="81"/>
      <c r="N212" s="81"/>
      <c r="O212" s="81"/>
      <c r="P212" s="81" t="s">
        <v>54</v>
      </c>
      <c r="Q212" s="251"/>
      <c r="R212"/>
    </row>
    <row r="213" spans="1:18" s="343" customFormat="1" ht="14.45" customHeight="1" x14ac:dyDescent="0.25">
      <c r="A213" s="8">
        <v>2025</v>
      </c>
      <c r="B213" s="83">
        <v>101</v>
      </c>
      <c r="C213" s="83" t="str">
        <f>B213&amp;"-25"</f>
        <v>101-25</v>
      </c>
      <c r="D213" s="83" t="s">
        <v>216</v>
      </c>
      <c r="E213" s="83" t="s">
        <v>203</v>
      </c>
      <c r="F213" s="83" t="s">
        <v>203</v>
      </c>
      <c r="G213" s="83" t="s">
        <v>500</v>
      </c>
      <c r="H213" s="357">
        <v>2005170618</v>
      </c>
      <c r="I213" s="358">
        <v>3532.18</v>
      </c>
      <c r="J213" s="4" t="s">
        <v>1618</v>
      </c>
      <c r="K213" s="83"/>
      <c r="L213" s="362">
        <v>45812</v>
      </c>
      <c r="M213" s="83"/>
      <c r="N213" s="83"/>
      <c r="O213" s="22" t="s">
        <v>133</v>
      </c>
      <c r="P213" s="83" t="s">
        <v>238</v>
      </c>
      <c r="Q213" s="342"/>
      <c r="R213" s="353"/>
    </row>
    <row r="214" spans="1:18" x14ac:dyDescent="0.25">
      <c r="A214" s="6">
        <v>2025</v>
      </c>
      <c r="B214" s="81">
        <v>102</v>
      </c>
      <c r="C214" s="81" t="str">
        <f>B214&amp;"-25"</f>
        <v>102-25</v>
      </c>
      <c r="D214" s="81" t="s">
        <v>501</v>
      </c>
      <c r="E214" s="81" t="s">
        <v>502</v>
      </c>
      <c r="F214" s="230" t="s">
        <v>324</v>
      </c>
      <c r="G214" s="81" t="s">
        <v>503</v>
      </c>
      <c r="H214" s="232">
        <v>202518549680</v>
      </c>
      <c r="I214" s="326"/>
      <c r="J214" s="4" t="s">
        <v>1611</v>
      </c>
      <c r="K214" s="81"/>
      <c r="L214" s="84">
        <v>45811</v>
      </c>
      <c r="M214" s="81"/>
      <c r="N214" s="81"/>
      <c r="O214" s="22" t="s">
        <v>133</v>
      </c>
      <c r="P214" s="6" t="s">
        <v>54</v>
      </c>
      <c r="Q214" s="251"/>
      <c r="R214"/>
    </row>
    <row r="215" spans="1:18" ht="15" customHeight="1" x14ac:dyDescent="0.25">
      <c r="A215" s="6">
        <v>2025</v>
      </c>
      <c r="B215" s="81">
        <v>103</v>
      </c>
      <c r="C215" s="81" t="str">
        <f>B215&amp;"-25"</f>
        <v>103-25</v>
      </c>
      <c r="D215" s="81" t="s">
        <v>140</v>
      </c>
      <c r="E215" s="81" t="s">
        <v>504</v>
      </c>
      <c r="F215" s="81" t="s">
        <v>469</v>
      </c>
      <c r="G215" s="81" t="s">
        <v>505</v>
      </c>
      <c r="H215" s="232">
        <v>202518545110</v>
      </c>
      <c r="I215" s="326">
        <v>2681.8</v>
      </c>
      <c r="J215" s="4" t="s">
        <v>1618</v>
      </c>
      <c r="K215" s="81"/>
      <c r="L215" s="84">
        <v>45806</v>
      </c>
      <c r="M215" s="81"/>
      <c r="N215" s="81"/>
      <c r="O215" s="22" t="s">
        <v>133</v>
      </c>
      <c r="P215" s="6" t="s">
        <v>54</v>
      </c>
      <c r="Q215" s="251"/>
      <c r="R215"/>
    </row>
    <row r="216" spans="1:18" ht="14.45" customHeight="1" x14ac:dyDescent="0.25">
      <c r="A216" s="11">
        <v>2025</v>
      </c>
      <c r="B216" s="81">
        <v>104</v>
      </c>
      <c r="C216" s="81" t="str">
        <f>B216&amp;"-25"</f>
        <v>104-25</v>
      </c>
      <c r="D216" s="81" t="s">
        <v>118</v>
      </c>
      <c r="E216" s="81"/>
      <c r="F216" s="81"/>
      <c r="G216" s="81" t="s">
        <v>296</v>
      </c>
      <c r="H216" s="85"/>
      <c r="I216" s="326">
        <v>92885</v>
      </c>
      <c r="J216" s="4" t="s">
        <v>1611</v>
      </c>
      <c r="K216" s="81"/>
      <c r="L216" s="84">
        <v>45782</v>
      </c>
      <c r="M216" s="81"/>
      <c r="N216" s="81"/>
      <c r="O216" s="81"/>
      <c r="P216" s="81" t="s">
        <v>24</v>
      </c>
      <c r="Q216" s="251"/>
      <c r="R216"/>
    </row>
    <row r="217" spans="1:18" ht="15" customHeight="1" x14ac:dyDescent="0.25">
      <c r="A217" s="6">
        <v>2025</v>
      </c>
      <c r="B217" s="81">
        <v>105</v>
      </c>
      <c r="C217" s="81" t="str">
        <f>B217&amp;"-25"</f>
        <v>105-25</v>
      </c>
      <c r="D217" s="81" t="s">
        <v>506</v>
      </c>
      <c r="E217" s="81" t="s">
        <v>507</v>
      </c>
      <c r="F217" s="81" t="s">
        <v>262</v>
      </c>
      <c r="G217" s="81" t="s">
        <v>505</v>
      </c>
      <c r="H217" s="232">
        <v>202518538449</v>
      </c>
      <c r="I217" s="326">
        <v>19481</v>
      </c>
      <c r="J217" s="4" t="s">
        <v>1611</v>
      </c>
      <c r="K217" s="81"/>
      <c r="L217" s="84">
        <v>45782</v>
      </c>
      <c r="M217" s="81"/>
      <c r="N217" s="81"/>
      <c r="O217" s="81" t="s">
        <v>508</v>
      </c>
      <c r="P217" s="6" t="s">
        <v>54</v>
      </c>
      <c r="Q217" s="251"/>
      <c r="R217"/>
    </row>
    <row r="218" spans="1:18" ht="14.45" customHeight="1" x14ac:dyDescent="0.25">
      <c r="A218" s="6">
        <v>2025</v>
      </c>
      <c r="B218" s="81">
        <v>106</v>
      </c>
      <c r="C218" s="81" t="str">
        <f>B218&amp;"-25"</f>
        <v>106-25</v>
      </c>
      <c r="D218" s="81" t="s">
        <v>248</v>
      </c>
      <c r="E218" s="81" t="s">
        <v>509</v>
      </c>
      <c r="F218" s="230" t="s">
        <v>101</v>
      </c>
      <c r="G218" s="81"/>
      <c r="H218" s="232">
        <v>202518545046</v>
      </c>
      <c r="I218" s="326">
        <v>3696</v>
      </c>
      <c r="J218" s="4" t="s">
        <v>1622</v>
      </c>
      <c r="K218" s="81"/>
      <c r="L218" s="84">
        <v>45795</v>
      </c>
      <c r="M218" s="234">
        <v>45823</v>
      </c>
      <c r="N218" s="81"/>
      <c r="O218" s="22" t="s">
        <v>102</v>
      </c>
      <c r="P218" s="6" t="s">
        <v>54</v>
      </c>
      <c r="Q218" s="81"/>
      <c r="R218"/>
    </row>
    <row r="219" spans="1:18" ht="15" customHeight="1" x14ac:dyDescent="0.25">
      <c r="A219" s="6">
        <v>2025</v>
      </c>
      <c r="B219" s="81">
        <v>107</v>
      </c>
      <c r="C219" s="81" t="str">
        <f>B219&amp;"-25"</f>
        <v>107-25</v>
      </c>
      <c r="D219" s="81" t="s">
        <v>248</v>
      </c>
      <c r="E219" s="81" t="s">
        <v>510</v>
      </c>
      <c r="F219" s="230" t="s">
        <v>101</v>
      </c>
      <c r="G219" s="81"/>
      <c r="H219" s="232">
        <v>202518545084</v>
      </c>
      <c r="I219" s="326">
        <v>3950</v>
      </c>
      <c r="J219" s="4" t="s">
        <v>1618</v>
      </c>
      <c r="K219" s="81"/>
      <c r="L219" s="84">
        <v>45795</v>
      </c>
      <c r="M219" s="234">
        <v>45812</v>
      </c>
      <c r="N219" s="234">
        <v>45846</v>
      </c>
      <c r="O219" s="22" t="s">
        <v>102</v>
      </c>
      <c r="P219" s="6" t="s">
        <v>54</v>
      </c>
      <c r="Q219" s="81"/>
      <c r="R219"/>
    </row>
    <row r="220" spans="1:18" ht="15" customHeight="1" x14ac:dyDescent="0.25">
      <c r="A220" s="6">
        <v>2025</v>
      </c>
      <c r="B220" s="81">
        <v>108</v>
      </c>
      <c r="C220" s="81" t="str">
        <f>B220&amp;"-25"</f>
        <v>108-25</v>
      </c>
      <c r="D220" s="81" t="s">
        <v>511</v>
      </c>
      <c r="E220" s="81" t="s">
        <v>42</v>
      </c>
      <c r="F220" s="230" t="s">
        <v>132</v>
      </c>
      <c r="G220" s="81" t="s">
        <v>175</v>
      </c>
      <c r="H220" s="85" t="s">
        <v>748</v>
      </c>
      <c r="I220" s="326">
        <v>120</v>
      </c>
      <c r="J220" s="4" t="s">
        <v>1618</v>
      </c>
      <c r="K220" s="81"/>
      <c r="L220" s="84">
        <v>45908</v>
      </c>
      <c r="M220" s="234">
        <v>45930</v>
      </c>
      <c r="N220" s="81"/>
      <c r="O220" s="22" t="s">
        <v>133</v>
      </c>
      <c r="P220" s="6" t="s">
        <v>54</v>
      </c>
      <c r="Q220" s="251"/>
      <c r="R220"/>
    </row>
    <row r="221" spans="1:18" ht="15" customHeight="1" x14ac:dyDescent="0.25">
      <c r="A221" s="290">
        <v>2025</v>
      </c>
      <c r="B221" s="291">
        <v>109</v>
      </c>
      <c r="C221" s="291" t="str">
        <f>B221&amp;"-25"</f>
        <v>109-25</v>
      </c>
      <c r="D221" s="291" t="s">
        <v>436</v>
      </c>
      <c r="E221" s="291" t="s">
        <v>1317</v>
      </c>
      <c r="F221" s="291" t="s">
        <v>438</v>
      </c>
      <c r="G221" s="81" t="s">
        <v>500</v>
      </c>
      <c r="H221" s="292">
        <v>2005171727</v>
      </c>
      <c r="I221" s="328">
        <v>506</v>
      </c>
      <c r="J221" s="4" t="s">
        <v>1611</v>
      </c>
      <c r="K221" s="291"/>
      <c r="L221" s="293">
        <v>45788</v>
      </c>
      <c r="M221" s="291"/>
      <c r="N221" s="291"/>
      <c r="O221" s="4" t="s">
        <v>58</v>
      </c>
      <c r="P221" s="291" t="s">
        <v>238</v>
      </c>
      <c r="Q221" s="251"/>
      <c r="R221" s="297"/>
    </row>
    <row r="222" spans="1:18" x14ac:dyDescent="0.25">
      <c r="A222" s="6">
        <v>2025</v>
      </c>
      <c r="B222" s="81">
        <v>110</v>
      </c>
      <c r="C222" s="81" t="str">
        <f>B222&amp;"-25"</f>
        <v>110-25</v>
      </c>
      <c r="D222" s="81" t="s">
        <v>512</v>
      </c>
      <c r="E222" s="81" t="s">
        <v>42</v>
      </c>
      <c r="F222" s="230" t="s">
        <v>197</v>
      </c>
      <c r="G222" s="81" t="s">
        <v>513</v>
      </c>
      <c r="H222" s="85"/>
      <c r="I222" s="326"/>
      <c r="J222" s="4" t="s">
        <v>1622</v>
      </c>
      <c r="K222" s="81" t="s">
        <v>22</v>
      </c>
      <c r="L222" s="84"/>
      <c r="M222" s="81"/>
      <c r="N222" s="81"/>
      <c r="O222" s="22" t="s">
        <v>133</v>
      </c>
      <c r="P222" s="6" t="s">
        <v>54</v>
      </c>
      <c r="Q222" s="251"/>
      <c r="R222"/>
    </row>
    <row r="223" spans="1:18" ht="15" customHeight="1" x14ac:dyDescent="0.25">
      <c r="A223" s="11">
        <v>2025</v>
      </c>
      <c r="B223" s="81">
        <v>111</v>
      </c>
      <c r="C223" s="81" t="str">
        <f>B223&amp;"-25"</f>
        <v>111-25</v>
      </c>
      <c r="D223" s="81" t="s">
        <v>514</v>
      </c>
      <c r="E223" s="81" t="s">
        <v>515</v>
      </c>
      <c r="F223" s="81" t="s">
        <v>491</v>
      </c>
      <c r="G223" s="81" t="s">
        <v>488</v>
      </c>
      <c r="H223" s="85">
        <v>2005171728</v>
      </c>
      <c r="I223" s="326">
        <v>576.29</v>
      </c>
      <c r="J223" s="4" t="s">
        <v>1618</v>
      </c>
      <c r="K223" s="81"/>
      <c r="L223" s="84">
        <v>45789</v>
      </c>
      <c r="M223" s="81"/>
      <c r="N223" s="81"/>
      <c r="O223" s="81"/>
      <c r="P223" s="81" t="s">
        <v>238</v>
      </c>
      <c r="Q223" s="81"/>
      <c r="R223"/>
    </row>
    <row r="224" spans="1:18" ht="15" customHeight="1" x14ac:dyDescent="0.25">
      <c r="A224" s="6">
        <v>2025</v>
      </c>
      <c r="B224" s="81">
        <v>112</v>
      </c>
      <c r="C224" s="81" t="str">
        <f>B224&amp;"-25"</f>
        <v>112-25</v>
      </c>
      <c r="D224" s="81" t="s">
        <v>516</v>
      </c>
      <c r="E224" s="81" t="s">
        <v>517</v>
      </c>
      <c r="F224" s="81" t="s">
        <v>213</v>
      </c>
      <c r="G224" s="81" t="s">
        <v>488</v>
      </c>
      <c r="H224" s="85">
        <v>2005172652</v>
      </c>
      <c r="I224" s="326">
        <v>7368.27</v>
      </c>
      <c r="J224" s="4" t="s">
        <v>1618</v>
      </c>
      <c r="K224" s="81"/>
      <c r="L224" s="224">
        <v>45806</v>
      </c>
      <c r="M224" s="81"/>
      <c r="N224" s="81"/>
      <c r="O224" s="22" t="s">
        <v>133</v>
      </c>
      <c r="P224" s="81" t="s">
        <v>238</v>
      </c>
      <c r="Q224" s="251"/>
      <c r="R224"/>
    </row>
    <row r="225" spans="1:18" ht="15" customHeight="1" x14ac:dyDescent="0.25">
      <c r="A225" s="6">
        <v>2025</v>
      </c>
      <c r="B225" s="81">
        <v>113</v>
      </c>
      <c r="C225" s="213" t="str">
        <f>B225&amp;"-25"</f>
        <v>113-25</v>
      </c>
      <c r="D225" s="213" t="s">
        <v>518</v>
      </c>
      <c r="E225" s="81" t="s">
        <v>519</v>
      </c>
      <c r="F225" s="81" t="s">
        <v>520</v>
      </c>
      <c r="G225" s="11" t="s">
        <v>1582</v>
      </c>
      <c r="H225" s="374" t="s">
        <v>1581</v>
      </c>
      <c r="I225" s="332">
        <v>26000</v>
      </c>
      <c r="J225" s="4" t="s">
        <v>1613</v>
      </c>
      <c r="K225" s="213"/>
      <c r="L225" s="289">
        <v>45792</v>
      </c>
      <c r="M225" s="81"/>
      <c r="N225" s="81"/>
      <c r="O225" s="213"/>
      <c r="P225" s="213" t="s">
        <v>24</v>
      </c>
      <c r="Q225" s="251" t="s">
        <v>1601</v>
      </c>
      <c r="R225"/>
    </row>
    <row r="226" spans="1:18" ht="15" customHeight="1" x14ac:dyDescent="0.25">
      <c r="A226" s="11">
        <v>2025</v>
      </c>
      <c r="B226" s="81">
        <v>114</v>
      </c>
      <c r="C226" s="213" t="str">
        <f>B226&amp;"-25"</f>
        <v>114-25</v>
      </c>
      <c r="D226" s="213" t="s">
        <v>521</v>
      </c>
      <c r="E226" s="81" t="s">
        <v>522</v>
      </c>
      <c r="F226" s="81" t="s">
        <v>218</v>
      </c>
      <c r="G226" s="213" t="s">
        <v>1331</v>
      </c>
      <c r="H226" s="374" t="s">
        <v>1579</v>
      </c>
      <c r="I226" s="332"/>
      <c r="J226" s="4" t="s">
        <v>1622</v>
      </c>
      <c r="K226" s="213"/>
      <c r="L226" s="289"/>
      <c r="M226" s="81"/>
      <c r="N226" s="81"/>
      <c r="O226" s="213"/>
      <c r="P226" s="213" t="s">
        <v>24</v>
      </c>
      <c r="Q226" s="345"/>
      <c r="R226"/>
    </row>
    <row r="227" spans="1:18" ht="15" customHeight="1" x14ac:dyDescent="0.25">
      <c r="A227" s="6">
        <v>2025</v>
      </c>
      <c r="B227" s="81">
        <v>115</v>
      </c>
      <c r="C227" s="81" t="str">
        <f>B227&amp;"-25"</f>
        <v>115-25</v>
      </c>
      <c r="D227" s="81" t="s">
        <v>523</v>
      </c>
      <c r="E227" s="81" t="s">
        <v>524</v>
      </c>
      <c r="F227" s="81" t="s">
        <v>196</v>
      </c>
      <c r="G227" s="81"/>
      <c r="H227" s="232">
        <v>202518560537</v>
      </c>
      <c r="I227" s="326">
        <v>1560.9</v>
      </c>
      <c r="J227" s="4" t="s">
        <v>1618</v>
      </c>
      <c r="K227" s="81"/>
      <c r="L227" s="84">
        <v>45794</v>
      </c>
      <c r="M227" s="234">
        <v>45799</v>
      </c>
      <c r="N227" s="81"/>
      <c r="O227" s="22" t="s">
        <v>133</v>
      </c>
      <c r="P227" s="81" t="s">
        <v>54</v>
      </c>
      <c r="Q227" s="251"/>
      <c r="R227"/>
    </row>
    <row r="228" spans="1:18" ht="15" customHeight="1" x14ac:dyDescent="0.25">
      <c r="A228" s="11">
        <v>2025</v>
      </c>
      <c r="B228" s="81">
        <v>116</v>
      </c>
      <c r="C228" s="81" t="str">
        <f>B228&amp;"-25"</f>
        <v>116-25</v>
      </c>
      <c r="D228" s="81" t="s">
        <v>525</v>
      </c>
      <c r="E228" s="81" t="s">
        <v>526</v>
      </c>
      <c r="F228" s="81" t="s">
        <v>201</v>
      </c>
      <c r="G228" s="81" t="s">
        <v>527</v>
      </c>
      <c r="H228" s="85">
        <v>2005172109</v>
      </c>
      <c r="I228" s="326">
        <v>1758.58</v>
      </c>
      <c r="J228" s="4" t="s">
        <v>1618</v>
      </c>
      <c r="K228" s="81"/>
      <c r="L228" s="84">
        <v>45791</v>
      </c>
      <c r="M228" s="81"/>
      <c r="N228" s="81"/>
      <c r="O228" s="81"/>
      <c r="P228" s="81" t="s">
        <v>238</v>
      </c>
      <c r="Q228" s="81"/>
      <c r="R228"/>
    </row>
    <row r="229" spans="1:18" ht="14.45" customHeight="1" x14ac:dyDescent="0.25">
      <c r="A229" s="6">
        <v>2025</v>
      </c>
      <c r="B229" s="81">
        <v>117</v>
      </c>
      <c r="C229" s="81" t="str">
        <f>B229&amp;"-25"</f>
        <v>117-25</v>
      </c>
      <c r="D229" s="81" t="s">
        <v>528</v>
      </c>
      <c r="E229" s="81" t="s">
        <v>529</v>
      </c>
      <c r="F229" s="6" t="s">
        <v>324</v>
      </c>
      <c r="G229" s="81" t="s">
        <v>429</v>
      </c>
      <c r="H229" s="232">
        <v>202518573608</v>
      </c>
      <c r="I229" s="326">
        <v>111</v>
      </c>
      <c r="J229" s="4" t="s">
        <v>1618</v>
      </c>
      <c r="K229" s="81"/>
      <c r="L229" s="224">
        <v>45794</v>
      </c>
      <c r="M229" s="234">
        <v>45810</v>
      </c>
      <c r="N229" s="81"/>
      <c r="O229" s="22" t="s">
        <v>49</v>
      </c>
      <c r="P229" s="6" t="s">
        <v>54</v>
      </c>
      <c r="Q229" s="198"/>
      <c r="R229"/>
    </row>
    <row r="230" spans="1:18" ht="15" customHeight="1" x14ac:dyDescent="0.25">
      <c r="A230" s="11">
        <v>2025</v>
      </c>
      <c r="B230" s="81">
        <v>118</v>
      </c>
      <c r="C230" s="81" t="str">
        <f>B230&amp;"-25"</f>
        <v>118-25</v>
      </c>
      <c r="D230" s="81" t="s">
        <v>104</v>
      </c>
      <c r="E230" s="81" t="s">
        <v>530</v>
      </c>
      <c r="F230" s="81" t="s">
        <v>213</v>
      </c>
      <c r="G230" s="81" t="s">
        <v>527</v>
      </c>
      <c r="H230" s="85">
        <v>2005172946</v>
      </c>
      <c r="I230" s="326">
        <v>887.26</v>
      </c>
      <c r="J230" s="4" t="s">
        <v>1618</v>
      </c>
      <c r="K230" s="81"/>
      <c r="L230" s="224">
        <v>45798</v>
      </c>
      <c r="M230" s="81"/>
      <c r="N230" s="81"/>
      <c r="O230" s="81"/>
      <c r="P230" s="81" t="s">
        <v>238</v>
      </c>
      <c r="Q230" s="81"/>
      <c r="R230"/>
    </row>
    <row r="231" spans="1:18" x14ac:dyDescent="0.25">
      <c r="A231" s="11">
        <v>2025</v>
      </c>
      <c r="B231" s="81">
        <v>119</v>
      </c>
      <c r="C231" s="81" t="str">
        <f>B231&amp;"-25"</f>
        <v>119-25</v>
      </c>
      <c r="D231" s="81" t="s">
        <v>201</v>
      </c>
      <c r="E231" s="81" t="s">
        <v>531</v>
      </c>
      <c r="F231" s="81" t="s">
        <v>201</v>
      </c>
      <c r="G231" s="81" t="s">
        <v>527</v>
      </c>
      <c r="H231" s="81">
        <v>2005173627</v>
      </c>
      <c r="I231" s="326">
        <v>694.61</v>
      </c>
      <c r="J231" s="4" t="s">
        <v>1618</v>
      </c>
      <c r="K231" s="81"/>
      <c r="L231" s="224">
        <v>45804</v>
      </c>
      <c r="M231" s="81"/>
      <c r="N231" s="81"/>
      <c r="O231" s="81"/>
      <c r="P231" s="81" t="s">
        <v>238</v>
      </c>
      <c r="Q231" s="81"/>
      <c r="R231"/>
    </row>
    <row r="232" spans="1:18" ht="15" customHeight="1" x14ac:dyDescent="0.25">
      <c r="A232" s="6">
        <v>2025</v>
      </c>
      <c r="B232" s="81">
        <v>120</v>
      </c>
      <c r="C232" s="81" t="str">
        <f>B232&amp;"-25"</f>
        <v>120-25</v>
      </c>
      <c r="D232" s="81" t="s">
        <v>140</v>
      </c>
      <c r="E232" s="81" t="s">
        <v>532</v>
      </c>
      <c r="F232" s="230" t="s">
        <v>140</v>
      </c>
      <c r="G232" s="81" t="s">
        <v>533</v>
      </c>
      <c r="H232" s="232">
        <v>202518616370</v>
      </c>
      <c r="I232" s="326">
        <v>1853.5</v>
      </c>
      <c r="J232" s="4" t="s">
        <v>1611</v>
      </c>
      <c r="K232" s="81"/>
      <c r="L232" s="84">
        <v>45829</v>
      </c>
      <c r="M232" s="81"/>
      <c r="N232" s="81"/>
      <c r="O232" s="22" t="s">
        <v>49</v>
      </c>
      <c r="P232" s="6" t="s">
        <v>54</v>
      </c>
      <c r="Q232" s="251"/>
      <c r="R232"/>
    </row>
    <row r="233" spans="1:18" x14ac:dyDescent="0.25">
      <c r="A233" s="11">
        <v>2025</v>
      </c>
      <c r="B233" s="81">
        <v>121</v>
      </c>
      <c r="C233" s="81" t="s">
        <v>534</v>
      </c>
      <c r="D233" s="81" t="s">
        <v>118</v>
      </c>
      <c r="E233" s="81"/>
      <c r="F233" s="81"/>
      <c r="G233" s="81"/>
      <c r="H233" s="85"/>
      <c r="I233" s="326"/>
      <c r="J233" s="4" t="s">
        <v>1611</v>
      </c>
      <c r="K233" s="81"/>
      <c r="L233" s="84"/>
      <c r="M233" s="81"/>
      <c r="N233" s="81"/>
      <c r="O233" s="81"/>
      <c r="P233" s="81"/>
      <c r="Q233" s="251" t="s">
        <v>1583</v>
      </c>
      <c r="R233"/>
    </row>
    <row r="234" spans="1:18" ht="15" customHeight="1" x14ac:dyDescent="0.25">
      <c r="A234" s="6">
        <v>2025</v>
      </c>
      <c r="B234" s="81">
        <v>122</v>
      </c>
      <c r="C234" s="81" t="s">
        <v>535</v>
      </c>
      <c r="D234" s="81" t="s">
        <v>536</v>
      </c>
      <c r="E234" s="81" t="s">
        <v>535</v>
      </c>
      <c r="F234" s="6" t="s">
        <v>101</v>
      </c>
      <c r="G234" s="81" t="s">
        <v>474</v>
      </c>
      <c r="H234" s="232">
        <v>202518677507</v>
      </c>
      <c r="I234" s="326">
        <v>982</v>
      </c>
      <c r="J234" s="4" t="s">
        <v>1611</v>
      </c>
      <c r="K234" s="81"/>
      <c r="L234" s="84">
        <v>45825</v>
      </c>
      <c r="M234" s="81"/>
      <c r="N234" s="81"/>
      <c r="O234" s="81" t="s">
        <v>480</v>
      </c>
      <c r="P234" s="6" t="s">
        <v>54</v>
      </c>
      <c r="Q234" s="251"/>
      <c r="R234"/>
    </row>
    <row r="235" spans="1:18" ht="14.45" customHeight="1" x14ac:dyDescent="0.25">
      <c r="A235" s="8">
        <v>2025</v>
      </c>
      <c r="B235" s="83">
        <v>123</v>
      </c>
      <c r="C235" s="83" t="s">
        <v>537</v>
      </c>
      <c r="D235" s="83" t="s">
        <v>538</v>
      </c>
      <c r="E235" s="83" t="s">
        <v>216</v>
      </c>
      <c r="F235" s="8" t="s">
        <v>153</v>
      </c>
      <c r="G235" s="83" t="s">
        <v>474</v>
      </c>
      <c r="H235" s="357">
        <v>2005173613</v>
      </c>
      <c r="I235" s="358">
        <v>8289.7999999999993</v>
      </c>
      <c r="J235" s="4" t="s">
        <v>1611</v>
      </c>
      <c r="K235" s="83"/>
      <c r="L235" s="359">
        <v>45803</v>
      </c>
      <c r="M235" s="83"/>
      <c r="N235" s="83"/>
      <c r="O235" s="83"/>
      <c r="P235" s="83" t="s">
        <v>238</v>
      </c>
      <c r="Q235" s="251"/>
      <c r="R235" s="353"/>
    </row>
    <row r="236" spans="1:18" ht="15" customHeight="1" x14ac:dyDescent="0.25">
      <c r="A236" s="8">
        <v>2025</v>
      </c>
      <c r="B236" s="83">
        <v>124</v>
      </c>
      <c r="C236" s="83" t="s">
        <v>539</v>
      </c>
      <c r="D236" s="83" t="s">
        <v>540</v>
      </c>
      <c r="E236" s="83" t="s">
        <v>541</v>
      </c>
      <c r="F236" s="8" t="s">
        <v>27</v>
      </c>
      <c r="G236" s="83" t="s">
        <v>474</v>
      </c>
      <c r="H236" s="454">
        <v>2005175353</v>
      </c>
      <c r="I236" s="358">
        <v>8931.5499999999993</v>
      </c>
      <c r="J236" s="4" t="s">
        <v>1611</v>
      </c>
      <c r="K236" s="83"/>
      <c r="L236" s="362">
        <v>45824</v>
      </c>
      <c r="M236" s="83"/>
      <c r="N236" s="83"/>
      <c r="O236" s="363" t="s">
        <v>49</v>
      </c>
      <c r="P236" s="83" t="s">
        <v>238</v>
      </c>
      <c r="Q236" s="251"/>
      <c r="R236" s="353"/>
    </row>
    <row r="237" spans="1:18" ht="15" customHeight="1" x14ac:dyDescent="0.25">
      <c r="A237" s="6">
        <v>2025</v>
      </c>
      <c r="B237" s="81">
        <v>125</v>
      </c>
      <c r="C237" s="81" t="s">
        <v>542</v>
      </c>
      <c r="D237" s="81" t="s">
        <v>543</v>
      </c>
      <c r="E237" s="81" t="s">
        <v>544</v>
      </c>
      <c r="F237" s="6" t="s">
        <v>101</v>
      </c>
      <c r="G237" s="451" t="s">
        <v>1353</v>
      </c>
      <c r="H237" s="232">
        <v>202518656292</v>
      </c>
      <c r="I237" s="326">
        <v>2915</v>
      </c>
      <c r="J237" s="4" t="s">
        <v>1611</v>
      </c>
      <c r="K237" s="81"/>
      <c r="L237" s="84">
        <v>46005</v>
      </c>
      <c r="M237" s="81"/>
      <c r="N237" s="81"/>
      <c r="O237" s="22" t="s">
        <v>102</v>
      </c>
      <c r="P237" s="6" t="s">
        <v>54</v>
      </c>
      <c r="Q237" s="251"/>
      <c r="R237"/>
    </row>
    <row r="238" spans="1:18" ht="16.5" customHeight="1" x14ac:dyDescent="0.3">
      <c r="A238" s="6">
        <v>2025</v>
      </c>
      <c r="B238" s="81">
        <v>126</v>
      </c>
      <c r="C238" s="81" t="s">
        <v>546</v>
      </c>
      <c r="D238" s="81" t="s">
        <v>547</v>
      </c>
      <c r="E238" s="256" t="s">
        <v>548</v>
      </c>
      <c r="F238" s="6" t="s">
        <v>101</v>
      </c>
      <c r="G238" s="451" t="s">
        <v>1353</v>
      </c>
      <c r="H238" s="232">
        <v>202518656306</v>
      </c>
      <c r="I238" s="326">
        <v>10684.6</v>
      </c>
      <c r="J238" s="4" t="s">
        <v>1611</v>
      </c>
      <c r="K238" s="81"/>
      <c r="L238" s="84">
        <v>46004</v>
      </c>
      <c r="M238" s="81"/>
      <c r="N238" s="81"/>
      <c r="O238" s="22" t="s">
        <v>102</v>
      </c>
      <c r="P238" s="81" t="s">
        <v>54</v>
      </c>
      <c r="Q238" s="251"/>
      <c r="R238"/>
    </row>
    <row r="239" spans="1:18" ht="15" customHeight="1" x14ac:dyDescent="0.25">
      <c r="A239" s="6">
        <v>2025</v>
      </c>
      <c r="B239" s="81">
        <v>127</v>
      </c>
      <c r="C239" s="81" t="s">
        <v>549</v>
      </c>
      <c r="D239" s="81" t="s">
        <v>550</v>
      </c>
      <c r="E239" s="81"/>
      <c r="F239" s="6"/>
      <c r="G239" s="81" t="s">
        <v>551</v>
      </c>
      <c r="H239" s="85"/>
      <c r="I239" s="326"/>
      <c r="J239" s="4" t="s">
        <v>1611</v>
      </c>
      <c r="K239" s="81"/>
      <c r="L239" s="84">
        <v>45833</v>
      </c>
      <c r="M239" s="81"/>
      <c r="N239" s="81"/>
      <c r="O239" s="22" t="s">
        <v>133</v>
      </c>
      <c r="P239" s="81" t="s">
        <v>54</v>
      </c>
      <c r="Q239" s="251"/>
      <c r="R239"/>
    </row>
    <row r="240" spans="1:18" ht="15" customHeight="1" x14ac:dyDescent="0.25">
      <c r="A240" s="11">
        <v>2025</v>
      </c>
      <c r="B240" s="81">
        <v>128</v>
      </c>
      <c r="C240" s="81" t="s">
        <v>552</v>
      </c>
      <c r="D240" s="81" t="s">
        <v>104</v>
      </c>
      <c r="E240" s="81" t="s">
        <v>104</v>
      </c>
      <c r="F240" s="81" t="s">
        <v>213</v>
      </c>
      <c r="G240" s="81" t="s">
        <v>527</v>
      </c>
      <c r="H240" s="81">
        <v>2005173616</v>
      </c>
      <c r="I240" s="326">
        <v>1110.08</v>
      </c>
      <c r="J240" s="4" t="s">
        <v>1618</v>
      </c>
      <c r="K240" s="81"/>
      <c r="L240" s="239">
        <v>45804</v>
      </c>
      <c r="M240" s="81"/>
      <c r="N240" s="81"/>
      <c r="O240" s="81"/>
      <c r="P240" s="81" t="s">
        <v>238</v>
      </c>
      <c r="Q240" s="81"/>
      <c r="R240"/>
    </row>
    <row r="241" spans="1:18" ht="15" customHeight="1" x14ac:dyDescent="0.25">
      <c r="A241" s="8">
        <v>2025</v>
      </c>
      <c r="B241" s="83">
        <v>129</v>
      </c>
      <c r="C241" s="83" t="s">
        <v>553</v>
      </c>
      <c r="D241" s="83" t="s">
        <v>554</v>
      </c>
      <c r="E241" s="83" t="s">
        <v>555</v>
      </c>
      <c r="F241" s="83" t="s">
        <v>438</v>
      </c>
      <c r="G241" s="83" t="s">
        <v>556</v>
      </c>
      <c r="H241" s="83">
        <v>2005176264</v>
      </c>
      <c r="I241" s="358">
        <v>1258.56</v>
      </c>
      <c r="J241" s="4" t="s">
        <v>1611</v>
      </c>
      <c r="K241" s="83"/>
      <c r="L241" s="364">
        <v>45811</v>
      </c>
      <c r="M241" s="83"/>
      <c r="N241" s="83"/>
      <c r="O241" s="83"/>
      <c r="P241" s="83" t="s">
        <v>238</v>
      </c>
      <c r="Q241" s="251" t="s">
        <v>1624</v>
      </c>
      <c r="R241" s="353"/>
    </row>
    <row r="242" spans="1:18" ht="15" customHeight="1" x14ac:dyDescent="0.25">
      <c r="A242" s="11">
        <v>2025</v>
      </c>
      <c r="B242" s="213">
        <v>130</v>
      </c>
      <c r="C242" s="213" t="s">
        <v>557</v>
      </c>
      <c r="D242" s="213" t="s">
        <v>436</v>
      </c>
      <c r="E242" s="213"/>
      <c r="F242" s="213"/>
      <c r="G242" s="11" t="s">
        <v>20</v>
      </c>
      <c r="H242" s="372" t="s">
        <v>1578</v>
      </c>
      <c r="I242" s="332">
        <v>19248</v>
      </c>
      <c r="J242" s="4" t="s">
        <v>1611</v>
      </c>
      <c r="K242" s="213"/>
      <c r="L242" s="213"/>
      <c r="M242" s="213"/>
      <c r="N242" s="213"/>
      <c r="O242" s="213"/>
      <c r="P242" s="213" t="s">
        <v>24</v>
      </c>
      <c r="Q242" s="251"/>
      <c r="R242"/>
    </row>
    <row r="243" spans="1:18" ht="14.45" customHeight="1" x14ac:dyDescent="0.25">
      <c r="A243" s="11">
        <v>2025</v>
      </c>
      <c r="B243" s="213">
        <v>131</v>
      </c>
      <c r="C243" s="213" t="s">
        <v>558</v>
      </c>
      <c r="D243" s="213" t="s">
        <v>67</v>
      </c>
      <c r="E243" s="213" t="s">
        <v>67</v>
      </c>
      <c r="F243" s="213" t="s">
        <v>67</v>
      </c>
      <c r="G243" s="11" t="s">
        <v>20</v>
      </c>
      <c r="H243" s="372" t="s">
        <v>1577</v>
      </c>
      <c r="I243" s="332">
        <v>9999</v>
      </c>
      <c r="J243" s="4" t="s">
        <v>1611</v>
      </c>
      <c r="K243" s="213"/>
      <c r="L243" s="213"/>
      <c r="M243" s="213"/>
      <c r="N243" s="213"/>
      <c r="O243" s="213"/>
      <c r="P243" s="213" t="s">
        <v>24</v>
      </c>
      <c r="Q243" s="251"/>
      <c r="R243"/>
    </row>
    <row r="244" spans="1:18" ht="15" customHeight="1" x14ac:dyDescent="0.25">
      <c r="A244" s="8">
        <v>2025</v>
      </c>
      <c r="B244" s="83">
        <v>132</v>
      </c>
      <c r="C244" s="83" t="s">
        <v>559</v>
      </c>
      <c r="D244" s="83" t="s">
        <v>560</v>
      </c>
      <c r="E244" s="83" t="s">
        <v>561</v>
      </c>
      <c r="F244" s="83" t="s">
        <v>262</v>
      </c>
      <c r="G244" s="83" t="s">
        <v>474</v>
      </c>
      <c r="H244" s="83">
        <v>2005174581</v>
      </c>
      <c r="I244" s="358">
        <v>1525.74</v>
      </c>
      <c r="J244" s="4" t="s">
        <v>1611</v>
      </c>
      <c r="K244" s="83"/>
      <c r="L244" s="364">
        <v>45812</v>
      </c>
      <c r="M244" s="83"/>
      <c r="N244" s="83"/>
      <c r="O244" s="83"/>
      <c r="P244" s="83" t="s">
        <v>238</v>
      </c>
      <c r="Q244" s="251"/>
      <c r="R244" s="353"/>
    </row>
    <row r="245" spans="1:18" ht="16.5" customHeight="1" x14ac:dyDescent="0.3">
      <c r="A245" s="6">
        <v>2025</v>
      </c>
      <c r="B245" s="81">
        <v>133</v>
      </c>
      <c r="C245" s="81" t="s">
        <v>562</v>
      </c>
      <c r="D245" s="81" t="s">
        <v>563</v>
      </c>
      <c r="E245" s="256" t="s">
        <v>564</v>
      </c>
      <c r="F245" s="6" t="s">
        <v>101</v>
      </c>
      <c r="G245" s="81" t="s">
        <v>1352</v>
      </c>
      <c r="H245" s="232">
        <v>202518655857</v>
      </c>
      <c r="I245" s="326">
        <v>4164.3999999999996</v>
      </c>
      <c r="J245" s="4" t="s">
        <v>1622</v>
      </c>
      <c r="K245" s="81" t="s">
        <v>119</v>
      </c>
      <c r="L245" s="84">
        <v>45823</v>
      </c>
      <c r="M245" s="81"/>
      <c r="N245" s="81"/>
      <c r="O245" s="22" t="s">
        <v>102</v>
      </c>
      <c r="P245" s="81" t="s">
        <v>54</v>
      </c>
      <c r="Q245" s="251"/>
      <c r="R245"/>
    </row>
    <row r="246" spans="1:18" ht="15.95" customHeight="1" x14ac:dyDescent="0.3">
      <c r="A246" s="6">
        <v>2025</v>
      </c>
      <c r="B246" s="81">
        <v>134</v>
      </c>
      <c r="C246" s="81" t="s">
        <v>565</v>
      </c>
      <c r="D246" s="81" t="s">
        <v>566</v>
      </c>
      <c r="E246" s="256" t="s">
        <v>567</v>
      </c>
      <c r="F246" s="6" t="s">
        <v>101</v>
      </c>
      <c r="G246" s="81" t="s">
        <v>474</v>
      </c>
      <c r="H246" s="232">
        <v>202518655901</v>
      </c>
      <c r="I246" s="326">
        <v>1863.4</v>
      </c>
      <c r="J246" s="4" t="s">
        <v>1622</v>
      </c>
      <c r="K246" s="81" t="s">
        <v>119</v>
      </c>
      <c r="L246" s="84"/>
      <c r="M246" s="81"/>
      <c r="N246" s="81"/>
      <c r="O246" s="22" t="s">
        <v>102</v>
      </c>
      <c r="P246" s="81" t="s">
        <v>54</v>
      </c>
      <c r="Q246" s="251"/>
      <c r="R246"/>
    </row>
    <row r="247" spans="1:18" ht="14.45" customHeight="1" x14ac:dyDescent="0.25">
      <c r="A247" s="290">
        <v>2025</v>
      </c>
      <c r="B247" s="291">
        <v>135</v>
      </c>
      <c r="C247" s="291" t="s">
        <v>568</v>
      </c>
      <c r="D247" s="291" t="s">
        <v>382</v>
      </c>
      <c r="E247" s="291" t="s">
        <v>569</v>
      </c>
      <c r="F247" s="291" t="s">
        <v>27</v>
      </c>
      <c r="G247" s="291" t="s">
        <v>556</v>
      </c>
      <c r="H247" s="291">
        <v>2005181300</v>
      </c>
      <c r="I247" s="328">
        <v>7034.55</v>
      </c>
      <c r="J247" s="4" t="s">
        <v>1611</v>
      </c>
      <c r="K247" s="291"/>
      <c r="L247" s="298">
        <v>45820</v>
      </c>
      <c r="M247" s="291"/>
      <c r="N247" s="291"/>
      <c r="O247" s="81" t="s">
        <v>30</v>
      </c>
      <c r="P247" s="291" t="s">
        <v>238</v>
      </c>
      <c r="Q247" s="251" t="s">
        <v>1624</v>
      </c>
      <c r="R247" s="297"/>
    </row>
    <row r="248" spans="1:18" ht="16.5" customHeight="1" x14ac:dyDescent="0.3">
      <c r="A248" s="6">
        <v>2025</v>
      </c>
      <c r="B248" s="81">
        <v>136</v>
      </c>
      <c r="C248" s="81" t="s">
        <v>570</v>
      </c>
      <c r="D248" s="81" t="s">
        <v>571</v>
      </c>
      <c r="E248" s="256" t="s">
        <v>572</v>
      </c>
      <c r="F248" s="6" t="s">
        <v>195</v>
      </c>
      <c r="G248" s="81" t="s">
        <v>488</v>
      </c>
      <c r="H248" s="232">
        <v>202518656229</v>
      </c>
      <c r="I248" s="326">
        <v>946</v>
      </c>
      <c r="J248" s="4" t="s">
        <v>1622</v>
      </c>
      <c r="K248" s="81" t="s">
        <v>22</v>
      </c>
      <c r="L248" s="84">
        <v>45823</v>
      </c>
      <c r="M248" s="81"/>
      <c r="N248" s="81"/>
      <c r="O248" s="81" t="s">
        <v>371</v>
      </c>
      <c r="P248" s="81" t="s">
        <v>54</v>
      </c>
      <c r="Q248" s="251"/>
      <c r="R248"/>
    </row>
    <row r="249" spans="1:18" ht="14.45" customHeight="1" x14ac:dyDescent="0.25">
      <c r="A249" s="11">
        <v>2025</v>
      </c>
      <c r="B249" s="81">
        <v>137</v>
      </c>
      <c r="C249" s="81" t="s">
        <v>573</v>
      </c>
      <c r="D249" s="81" t="s">
        <v>104</v>
      </c>
      <c r="E249" s="81" t="s">
        <v>104</v>
      </c>
      <c r="F249" s="81" t="s">
        <v>366</v>
      </c>
      <c r="G249" s="81" t="s">
        <v>527</v>
      </c>
      <c r="H249" s="81">
        <v>2005175486</v>
      </c>
      <c r="I249" s="326">
        <v>468.27</v>
      </c>
      <c r="J249" s="4" t="s">
        <v>1618</v>
      </c>
      <c r="K249" s="81"/>
      <c r="L249" s="239">
        <v>45820</v>
      </c>
      <c r="M249" s="234">
        <v>45826</v>
      </c>
      <c r="N249" s="81"/>
      <c r="O249" s="81" t="s">
        <v>30</v>
      </c>
      <c r="P249" s="81" t="s">
        <v>238</v>
      </c>
      <c r="Q249" s="81"/>
      <c r="R249"/>
    </row>
    <row r="250" spans="1:18" s="343" customFormat="1" ht="15" customHeight="1" x14ac:dyDescent="0.25">
      <c r="A250" s="8">
        <v>2025</v>
      </c>
      <c r="B250" s="83">
        <v>138</v>
      </c>
      <c r="C250" s="83" t="s">
        <v>574</v>
      </c>
      <c r="D250" s="83" t="s">
        <v>203</v>
      </c>
      <c r="E250" s="83" t="s">
        <v>230</v>
      </c>
      <c r="F250" s="83" t="s">
        <v>153</v>
      </c>
      <c r="G250" s="83" t="s">
        <v>556</v>
      </c>
      <c r="H250" s="365">
        <v>2005175689</v>
      </c>
      <c r="I250" s="358">
        <v>2994.19</v>
      </c>
      <c r="J250" s="4" t="s">
        <v>1618</v>
      </c>
      <c r="K250" s="83"/>
      <c r="L250" s="366">
        <v>45823</v>
      </c>
      <c r="M250" s="83"/>
      <c r="N250" s="83"/>
      <c r="O250" s="81" t="s">
        <v>30</v>
      </c>
      <c r="P250" s="83" t="s">
        <v>238</v>
      </c>
      <c r="Q250" s="342"/>
      <c r="R250" s="353"/>
    </row>
    <row r="251" spans="1:18" ht="16.5" customHeight="1" x14ac:dyDescent="0.3">
      <c r="A251" s="6">
        <v>2025</v>
      </c>
      <c r="B251" s="81">
        <v>139</v>
      </c>
      <c r="C251" s="81" t="s">
        <v>575</v>
      </c>
      <c r="D251" s="81" t="s">
        <v>576</v>
      </c>
      <c r="E251" s="256" t="s">
        <v>577</v>
      </c>
      <c r="F251" s="6" t="s">
        <v>85</v>
      </c>
      <c r="G251" s="81" t="s">
        <v>474</v>
      </c>
      <c r="H251" s="232">
        <v>202518661721</v>
      </c>
      <c r="I251" s="326">
        <v>361.9</v>
      </c>
      <c r="J251" s="4" t="s">
        <v>1622</v>
      </c>
      <c r="K251" s="81" t="s">
        <v>53</v>
      </c>
      <c r="L251" s="84">
        <v>45822</v>
      </c>
      <c r="M251" s="81"/>
      <c r="N251" s="81"/>
      <c r="O251" s="81" t="s">
        <v>480</v>
      </c>
      <c r="P251" s="81" t="s">
        <v>54</v>
      </c>
      <c r="Q251" s="251"/>
      <c r="R251"/>
    </row>
    <row r="252" spans="1:18" ht="16.5" customHeight="1" x14ac:dyDescent="0.3">
      <c r="A252" s="6">
        <v>2025</v>
      </c>
      <c r="B252" s="81">
        <v>140</v>
      </c>
      <c r="C252" s="81" t="s">
        <v>578</v>
      </c>
      <c r="D252" s="81" t="s">
        <v>579</v>
      </c>
      <c r="E252" s="256" t="s">
        <v>580</v>
      </c>
      <c r="F252" s="6" t="s">
        <v>288</v>
      </c>
      <c r="G252" s="81" t="s">
        <v>488</v>
      </c>
      <c r="H252" s="232">
        <v>202518661851</v>
      </c>
      <c r="I252" s="326">
        <v>1831.5</v>
      </c>
      <c r="J252" s="4" t="s">
        <v>1622</v>
      </c>
      <c r="K252" s="81" t="s">
        <v>119</v>
      </c>
      <c r="L252" s="84">
        <v>45825</v>
      </c>
      <c r="M252" s="81"/>
      <c r="N252" s="81"/>
      <c r="O252" s="22" t="s">
        <v>133</v>
      </c>
      <c r="P252" s="81" t="s">
        <v>54</v>
      </c>
      <c r="Q252" s="251"/>
      <c r="R252"/>
    </row>
    <row r="253" spans="1:18" ht="16.5" customHeight="1" x14ac:dyDescent="0.3">
      <c r="A253" s="6">
        <v>2025</v>
      </c>
      <c r="B253" s="81">
        <v>141</v>
      </c>
      <c r="C253" s="81" t="s">
        <v>581</v>
      </c>
      <c r="D253" s="81" t="s">
        <v>582</v>
      </c>
      <c r="E253" s="256" t="s">
        <v>583</v>
      </c>
      <c r="F253" s="81" t="s">
        <v>584</v>
      </c>
      <c r="G253" s="81" t="s">
        <v>585</v>
      </c>
      <c r="H253" s="232">
        <v>202518668623</v>
      </c>
      <c r="I253" s="326">
        <v>679.8</v>
      </c>
      <c r="J253" s="4" t="s">
        <v>1618</v>
      </c>
      <c r="K253" s="81"/>
      <c r="L253" s="84">
        <v>45823</v>
      </c>
      <c r="M253" s="234">
        <v>45854</v>
      </c>
      <c r="N253" s="81"/>
      <c r="O253" s="81" t="s">
        <v>508</v>
      </c>
      <c r="P253" s="81" t="s">
        <v>54</v>
      </c>
      <c r="Q253" s="198"/>
      <c r="R253"/>
    </row>
    <row r="254" spans="1:18" ht="16.5" customHeight="1" x14ac:dyDescent="0.3">
      <c r="A254" s="6">
        <v>2025</v>
      </c>
      <c r="B254" s="81">
        <v>142</v>
      </c>
      <c r="C254" s="81" t="s">
        <v>586</v>
      </c>
      <c r="D254" s="81" t="s">
        <v>587</v>
      </c>
      <c r="E254" s="256" t="s">
        <v>588</v>
      </c>
      <c r="F254" s="81" t="s">
        <v>288</v>
      </c>
      <c r="G254" s="81" t="s">
        <v>589</v>
      </c>
      <c r="H254" s="232">
        <v>202518677404</v>
      </c>
      <c r="I254" s="326">
        <v>1100</v>
      </c>
      <c r="J254" s="4" t="s">
        <v>1622</v>
      </c>
      <c r="K254" s="81" t="s">
        <v>798</v>
      </c>
      <c r="L254" s="84">
        <v>45795</v>
      </c>
      <c r="M254" s="81"/>
      <c r="N254" s="81"/>
      <c r="O254" s="22" t="s">
        <v>133</v>
      </c>
      <c r="P254" s="81" t="s">
        <v>54</v>
      </c>
      <c r="Q254" s="251"/>
      <c r="R254"/>
    </row>
    <row r="255" spans="1:18" ht="15" customHeight="1" x14ac:dyDescent="0.25">
      <c r="A255" s="11">
        <v>2025</v>
      </c>
      <c r="B255" s="81">
        <v>143</v>
      </c>
      <c r="C255" s="81" t="s">
        <v>590</v>
      </c>
      <c r="D255" s="81" t="s">
        <v>591</v>
      </c>
      <c r="E255" s="81"/>
      <c r="F255" s="81" t="s">
        <v>33</v>
      </c>
      <c r="G255" s="81"/>
      <c r="H255" s="85"/>
      <c r="I255" s="326"/>
      <c r="J255" s="4" t="s">
        <v>1611</v>
      </c>
      <c r="K255" s="81"/>
      <c r="L255" s="84"/>
      <c r="M255" s="81"/>
      <c r="N255" s="81"/>
      <c r="O255" s="81"/>
      <c r="P255" s="81"/>
      <c r="Q255" s="251" t="s">
        <v>1583</v>
      </c>
      <c r="R255"/>
    </row>
    <row r="256" spans="1:18" s="343" customFormat="1" x14ac:dyDescent="0.25">
      <c r="A256" s="8">
        <v>2025</v>
      </c>
      <c r="B256" s="83">
        <v>144</v>
      </c>
      <c r="C256" s="83" t="s">
        <v>592</v>
      </c>
      <c r="D256" s="83" t="s">
        <v>382</v>
      </c>
      <c r="E256" s="83" t="s">
        <v>593</v>
      </c>
      <c r="F256" s="83" t="s">
        <v>27</v>
      </c>
      <c r="G256" s="83" t="s">
        <v>589</v>
      </c>
      <c r="H256" s="378" t="s">
        <v>1576</v>
      </c>
      <c r="I256" s="358"/>
      <c r="J256" s="4" t="s">
        <v>1622</v>
      </c>
      <c r="K256" s="83" t="s">
        <v>808</v>
      </c>
      <c r="L256" s="359"/>
      <c r="M256" s="83"/>
      <c r="N256" s="83"/>
      <c r="O256" s="83"/>
      <c r="P256" s="83" t="s">
        <v>238</v>
      </c>
      <c r="Q256" s="342"/>
      <c r="R256" s="353"/>
    </row>
    <row r="257" spans="1:18" ht="16.5" customHeight="1" x14ac:dyDescent="0.3">
      <c r="A257" s="6">
        <v>2025</v>
      </c>
      <c r="B257" s="81">
        <v>145</v>
      </c>
      <c r="C257" s="81" t="s">
        <v>594</v>
      </c>
      <c r="D257" s="81" t="s">
        <v>595</v>
      </c>
      <c r="E257" s="256" t="s">
        <v>596</v>
      </c>
      <c r="F257" s="6" t="s">
        <v>52</v>
      </c>
      <c r="G257" s="81" t="s">
        <v>488</v>
      </c>
      <c r="H257" s="232">
        <v>202518684136</v>
      </c>
      <c r="I257" s="326">
        <v>990</v>
      </c>
      <c r="J257" s="4" t="s">
        <v>1618</v>
      </c>
      <c r="K257" s="81"/>
      <c r="L257" s="84">
        <v>45827</v>
      </c>
      <c r="M257" s="234">
        <v>45854</v>
      </c>
      <c r="N257" s="81"/>
      <c r="O257" s="22" t="s">
        <v>49</v>
      </c>
      <c r="P257" s="81" t="s">
        <v>54</v>
      </c>
      <c r="Q257" s="198"/>
      <c r="R257"/>
    </row>
    <row r="258" spans="1:18" ht="15" customHeight="1" x14ac:dyDescent="0.25">
      <c r="A258" s="11">
        <v>2025</v>
      </c>
      <c r="B258" s="81">
        <v>146</v>
      </c>
      <c r="C258" s="213" t="s">
        <v>597</v>
      </c>
      <c r="D258" s="213" t="s">
        <v>598</v>
      </c>
      <c r="E258" s="81" t="s">
        <v>599</v>
      </c>
      <c r="F258" s="6" t="s">
        <v>140</v>
      </c>
      <c r="G258" s="213" t="s">
        <v>488</v>
      </c>
      <c r="H258" s="372">
        <v>202518689794</v>
      </c>
      <c r="I258" s="332">
        <v>583</v>
      </c>
      <c r="J258" s="4" t="s">
        <v>1618</v>
      </c>
      <c r="K258" s="213"/>
      <c r="L258" s="289">
        <v>45829</v>
      </c>
      <c r="M258" s="81"/>
      <c r="N258" s="81"/>
      <c r="O258" s="213"/>
      <c r="P258" s="213" t="s">
        <v>24</v>
      </c>
      <c r="Q258" s="377"/>
      <c r="R258"/>
    </row>
    <row r="259" spans="1:18" ht="15" customHeight="1" x14ac:dyDescent="0.25">
      <c r="A259" s="6">
        <v>2025</v>
      </c>
      <c r="B259" s="81">
        <v>147</v>
      </c>
      <c r="C259" s="81" t="s">
        <v>600</v>
      </c>
      <c r="D259" s="81" t="s">
        <v>601</v>
      </c>
      <c r="E259" s="81" t="s">
        <v>602</v>
      </c>
      <c r="F259" s="6" t="s">
        <v>101</v>
      </c>
      <c r="G259" s="81" t="s">
        <v>603</v>
      </c>
      <c r="H259" s="232">
        <v>202518693593</v>
      </c>
      <c r="I259" s="326"/>
      <c r="J259" s="4" t="s">
        <v>1622</v>
      </c>
      <c r="K259" s="81" t="s">
        <v>69</v>
      </c>
      <c r="L259" s="84"/>
      <c r="M259" s="81"/>
      <c r="N259" s="81"/>
      <c r="O259" s="81" t="s">
        <v>508</v>
      </c>
      <c r="P259" s="81" t="s">
        <v>54</v>
      </c>
      <c r="Q259" s="251"/>
      <c r="R259"/>
    </row>
    <row r="260" spans="1:18" ht="15" customHeight="1" x14ac:dyDescent="0.25">
      <c r="A260" s="6">
        <v>2025</v>
      </c>
      <c r="B260" s="81">
        <v>148</v>
      </c>
      <c r="C260" s="81" t="s">
        <v>604</v>
      </c>
      <c r="D260" s="81" t="s">
        <v>607</v>
      </c>
      <c r="E260" s="81" t="s">
        <v>606</v>
      </c>
      <c r="F260" s="6" t="s">
        <v>52</v>
      </c>
      <c r="G260" s="81"/>
      <c r="H260" s="232">
        <v>202518695942</v>
      </c>
      <c r="I260" s="326">
        <v>941.6</v>
      </c>
      <c r="J260" s="4" t="s">
        <v>1618</v>
      </c>
      <c r="K260" s="81"/>
      <c r="L260" s="84">
        <v>45832</v>
      </c>
      <c r="M260" s="234">
        <v>45837</v>
      </c>
      <c r="N260" s="81"/>
      <c r="O260" s="22" t="s">
        <v>49</v>
      </c>
      <c r="P260" s="81" t="s">
        <v>54</v>
      </c>
      <c r="Q260" s="198"/>
      <c r="R260"/>
    </row>
    <row r="261" spans="1:18" ht="15" customHeight="1" x14ac:dyDescent="0.25">
      <c r="A261" s="6">
        <v>2025</v>
      </c>
      <c r="B261" s="81">
        <v>148</v>
      </c>
      <c r="C261" s="81" t="s">
        <v>604</v>
      </c>
      <c r="D261" s="81" t="s">
        <v>605</v>
      </c>
      <c r="E261" s="81" t="s">
        <v>606</v>
      </c>
      <c r="F261" s="6" t="s">
        <v>52</v>
      </c>
      <c r="G261" s="81" t="s">
        <v>488</v>
      </c>
      <c r="H261" s="232">
        <v>202518695942</v>
      </c>
      <c r="I261" s="326">
        <v>1386</v>
      </c>
      <c r="J261" s="4" t="s">
        <v>1618</v>
      </c>
      <c r="K261" s="81"/>
      <c r="L261" s="84">
        <v>45832</v>
      </c>
      <c r="M261" s="234">
        <v>45837</v>
      </c>
      <c r="N261" s="81"/>
      <c r="O261" s="22" t="s">
        <v>49</v>
      </c>
      <c r="P261" s="81" t="s">
        <v>54</v>
      </c>
      <c r="Q261" s="198"/>
      <c r="R261"/>
    </row>
    <row r="262" spans="1:18" ht="15" customHeight="1" x14ac:dyDescent="0.25">
      <c r="A262" s="6">
        <v>2025</v>
      </c>
      <c r="B262" s="81">
        <v>150</v>
      </c>
      <c r="C262" s="81" t="s">
        <v>608</v>
      </c>
      <c r="D262" s="81" t="s">
        <v>609</v>
      </c>
      <c r="E262" s="81" t="s">
        <v>610</v>
      </c>
      <c r="F262" s="6" t="s">
        <v>101</v>
      </c>
      <c r="G262" s="81" t="s">
        <v>611</v>
      </c>
      <c r="H262" s="232">
        <v>202518708775</v>
      </c>
      <c r="I262" s="326">
        <v>7984</v>
      </c>
      <c r="J262" s="4" t="s">
        <v>1622</v>
      </c>
      <c r="K262" s="81" t="s">
        <v>119</v>
      </c>
      <c r="L262" s="84">
        <v>45876</v>
      </c>
      <c r="M262" s="81"/>
      <c r="N262" s="81"/>
      <c r="O262" s="81" t="s">
        <v>508</v>
      </c>
      <c r="P262" s="81" t="s">
        <v>54</v>
      </c>
      <c r="Q262" s="251"/>
      <c r="R262"/>
    </row>
    <row r="263" spans="1:18" x14ac:dyDescent="0.25">
      <c r="A263" s="6">
        <v>2025</v>
      </c>
      <c r="B263" s="81">
        <v>151</v>
      </c>
      <c r="C263" s="81" t="s">
        <v>612</v>
      </c>
      <c r="D263" s="81" t="s">
        <v>613</v>
      </c>
      <c r="E263" s="81" t="s">
        <v>614</v>
      </c>
      <c r="F263" s="6" t="s">
        <v>101</v>
      </c>
      <c r="G263" s="81"/>
      <c r="H263" s="232">
        <v>202518696366</v>
      </c>
      <c r="I263" s="326">
        <v>2652.7</v>
      </c>
      <c r="J263" s="4" t="s">
        <v>1611</v>
      </c>
      <c r="K263" s="81"/>
      <c r="L263" s="84">
        <v>45832</v>
      </c>
      <c r="M263" s="81"/>
      <c r="N263" s="81"/>
      <c r="O263" s="81" t="s">
        <v>508</v>
      </c>
      <c r="P263" s="81" t="s">
        <v>54</v>
      </c>
      <c r="Q263" s="251"/>
      <c r="R263"/>
    </row>
    <row r="264" spans="1:18" ht="15" customHeight="1" x14ac:dyDescent="0.25">
      <c r="A264" s="6">
        <v>2025</v>
      </c>
      <c r="B264" s="81">
        <v>152</v>
      </c>
      <c r="C264" s="81" t="s">
        <v>615</v>
      </c>
      <c r="D264" s="81" t="s">
        <v>616</v>
      </c>
      <c r="E264" s="81" t="s">
        <v>617</v>
      </c>
      <c r="F264" s="6" t="s">
        <v>153</v>
      </c>
      <c r="G264" s="81" t="s">
        <v>545</v>
      </c>
      <c r="H264" s="232">
        <v>202518708932</v>
      </c>
      <c r="I264" s="326">
        <v>429</v>
      </c>
      <c r="J264" s="4" t="s">
        <v>1618</v>
      </c>
      <c r="K264" s="81"/>
      <c r="L264" s="84">
        <v>45840</v>
      </c>
      <c r="M264" s="234">
        <v>45850</v>
      </c>
      <c r="N264" s="81"/>
      <c r="O264" s="22" t="s">
        <v>133</v>
      </c>
      <c r="P264" s="81" t="s">
        <v>54</v>
      </c>
      <c r="Q264" s="198"/>
      <c r="R264"/>
    </row>
    <row r="265" spans="1:18" ht="15" customHeight="1" x14ac:dyDescent="0.25">
      <c r="A265" s="11">
        <v>2025</v>
      </c>
      <c r="B265" s="81">
        <v>153</v>
      </c>
      <c r="C265" s="81" t="s">
        <v>618</v>
      </c>
      <c r="D265" s="81" t="s">
        <v>619</v>
      </c>
      <c r="E265" s="81"/>
      <c r="F265" s="81" t="s">
        <v>620</v>
      </c>
      <c r="G265" s="81" t="s">
        <v>1331</v>
      </c>
      <c r="H265" s="232">
        <v>202518873286</v>
      </c>
      <c r="I265" s="326"/>
      <c r="J265" s="4" t="s">
        <v>1622</v>
      </c>
      <c r="K265" s="81" t="s">
        <v>106</v>
      </c>
      <c r="L265" s="84"/>
      <c r="M265" s="81"/>
      <c r="N265" s="81"/>
      <c r="O265" s="81"/>
      <c r="P265" s="81" t="s">
        <v>621</v>
      </c>
      <c r="Q265" s="251"/>
      <c r="R265"/>
    </row>
    <row r="266" spans="1:18" ht="15" customHeight="1" x14ac:dyDescent="0.25">
      <c r="A266" s="81">
        <v>2025</v>
      </c>
      <c r="B266" s="81">
        <v>154</v>
      </c>
      <c r="C266" s="81" t="s">
        <v>622</v>
      </c>
      <c r="D266" s="81" t="s">
        <v>623</v>
      </c>
      <c r="E266" s="81"/>
      <c r="F266" s="81" t="s">
        <v>262</v>
      </c>
      <c r="G266" s="81" t="s">
        <v>1331</v>
      </c>
      <c r="H266" s="232" t="s">
        <v>1575</v>
      </c>
      <c r="I266" s="326"/>
      <c r="J266" s="4" t="s">
        <v>1622</v>
      </c>
      <c r="K266" s="81" t="s">
        <v>106</v>
      </c>
      <c r="L266" s="84"/>
      <c r="M266" s="81"/>
      <c r="N266" s="81"/>
      <c r="O266" s="81"/>
      <c r="P266" s="81" t="s">
        <v>621</v>
      </c>
      <c r="Q266" s="251"/>
      <c r="R266"/>
    </row>
    <row r="267" spans="1:18" ht="16.5" customHeight="1" x14ac:dyDescent="0.3">
      <c r="A267" s="6">
        <v>2025</v>
      </c>
      <c r="B267" s="81">
        <v>155</v>
      </c>
      <c r="C267" s="81" t="s">
        <v>624</v>
      </c>
      <c r="D267" s="81" t="s">
        <v>625</v>
      </c>
      <c r="E267" s="256" t="s">
        <v>626</v>
      </c>
      <c r="F267" s="6" t="s">
        <v>197</v>
      </c>
      <c r="G267" s="81"/>
      <c r="H267" s="232">
        <v>202518701132</v>
      </c>
      <c r="I267" s="326">
        <v>998.8</v>
      </c>
      <c r="J267" s="4" t="s">
        <v>1618</v>
      </c>
      <c r="K267" s="81"/>
      <c r="L267" s="84">
        <v>45853</v>
      </c>
      <c r="M267" s="81"/>
      <c r="N267" s="81"/>
      <c r="O267" s="22" t="s">
        <v>133</v>
      </c>
      <c r="P267" s="81" t="s">
        <v>54</v>
      </c>
      <c r="Q267" s="251"/>
      <c r="R267"/>
    </row>
    <row r="268" spans="1:18" ht="15" customHeight="1" x14ac:dyDescent="0.25">
      <c r="A268" s="6">
        <v>2025</v>
      </c>
      <c r="B268" s="81">
        <v>156</v>
      </c>
      <c r="C268" s="81" t="s">
        <v>627</v>
      </c>
      <c r="D268" s="81" t="s">
        <v>628</v>
      </c>
      <c r="E268" s="81"/>
      <c r="F268" s="6" t="s">
        <v>197</v>
      </c>
      <c r="G268" s="81" t="s">
        <v>629</v>
      </c>
      <c r="H268" s="232">
        <v>202518736134</v>
      </c>
      <c r="I268" s="326">
        <v>1158.3</v>
      </c>
      <c r="J268" s="4" t="s">
        <v>1611</v>
      </c>
      <c r="K268" s="81"/>
      <c r="L268" s="84">
        <v>45850</v>
      </c>
      <c r="M268" s="81"/>
      <c r="N268" s="81"/>
      <c r="O268" s="22" t="s">
        <v>133</v>
      </c>
      <c r="P268" s="81" t="s">
        <v>54</v>
      </c>
      <c r="Q268" s="251"/>
      <c r="R268"/>
    </row>
    <row r="269" spans="1:18" x14ac:dyDescent="0.25">
      <c r="A269" s="11">
        <v>2025</v>
      </c>
      <c r="B269" s="81">
        <v>157</v>
      </c>
      <c r="C269" s="81" t="s">
        <v>630</v>
      </c>
      <c r="D269" s="81" t="s">
        <v>631</v>
      </c>
      <c r="E269" s="81"/>
      <c r="F269" s="81"/>
      <c r="G269" s="81" t="s">
        <v>1331</v>
      </c>
      <c r="H269" s="85"/>
      <c r="I269" s="326"/>
      <c r="J269" s="4" t="s">
        <v>1622</v>
      </c>
      <c r="K269" s="81" t="s">
        <v>106</v>
      </c>
      <c r="L269" s="84"/>
      <c r="M269" s="81"/>
      <c r="N269" s="81"/>
      <c r="O269" s="81"/>
      <c r="P269" s="81" t="s">
        <v>621</v>
      </c>
      <c r="Q269" s="251"/>
      <c r="R269"/>
    </row>
    <row r="270" spans="1:18" ht="14.45" customHeight="1" x14ac:dyDescent="0.25">
      <c r="A270" s="6">
        <v>2025</v>
      </c>
      <c r="B270" s="81">
        <v>158</v>
      </c>
      <c r="C270" s="81" t="str">
        <f>B270&amp;-25</f>
        <v>158-25</v>
      </c>
      <c r="D270" s="81" t="s">
        <v>632</v>
      </c>
      <c r="E270" s="81"/>
      <c r="F270" s="81" t="s">
        <v>218</v>
      </c>
      <c r="G270" s="81" t="s">
        <v>629</v>
      </c>
      <c r="H270" s="232">
        <v>202518749382</v>
      </c>
      <c r="I270" s="326">
        <v>198</v>
      </c>
      <c r="J270" s="4" t="s">
        <v>1618</v>
      </c>
      <c r="K270" s="81"/>
      <c r="L270" s="84">
        <v>45874</v>
      </c>
      <c r="M270" s="81"/>
      <c r="N270" s="81"/>
      <c r="O270" s="22" t="s">
        <v>133</v>
      </c>
      <c r="P270" s="81" t="s">
        <v>54</v>
      </c>
      <c r="Q270" s="81"/>
    </row>
    <row r="271" spans="1:18" ht="15" customHeight="1" x14ac:dyDescent="0.25">
      <c r="A271" s="6">
        <v>2025</v>
      </c>
      <c r="B271" s="81">
        <v>159</v>
      </c>
      <c r="C271" s="81" t="str">
        <f>B271&amp;-25</f>
        <v>159-25</v>
      </c>
      <c r="D271" s="81" t="s">
        <v>633</v>
      </c>
      <c r="E271" s="81"/>
      <c r="F271" s="81" t="s">
        <v>218</v>
      </c>
      <c r="G271" s="81" t="s">
        <v>629</v>
      </c>
      <c r="H271" s="232">
        <v>202518719909</v>
      </c>
      <c r="I271" s="326">
        <v>82.5</v>
      </c>
      <c r="J271" s="4" t="s">
        <v>1611</v>
      </c>
      <c r="K271" s="81"/>
      <c r="L271" s="84">
        <v>45854</v>
      </c>
      <c r="M271" s="81"/>
      <c r="N271" s="81"/>
      <c r="O271" s="22" t="s">
        <v>133</v>
      </c>
      <c r="P271" s="81" t="s">
        <v>54</v>
      </c>
      <c r="Q271" s="251"/>
    </row>
    <row r="272" spans="1:18" ht="16.5" customHeight="1" x14ac:dyDescent="0.3">
      <c r="A272" s="6">
        <v>2025</v>
      </c>
      <c r="B272" s="81">
        <v>160</v>
      </c>
      <c r="C272" s="81" t="str">
        <f>B272&amp;-25</f>
        <v>160-25</v>
      </c>
      <c r="D272" s="81" t="s">
        <v>634</v>
      </c>
      <c r="E272" s="256" t="s">
        <v>635</v>
      </c>
      <c r="F272" s="81" t="s">
        <v>153</v>
      </c>
      <c r="G272" s="81"/>
      <c r="H272" s="232">
        <v>202518727427</v>
      </c>
      <c r="I272" s="326">
        <v>818.4</v>
      </c>
      <c r="J272" s="4" t="s">
        <v>1618</v>
      </c>
      <c r="K272" s="81"/>
      <c r="L272" s="84">
        <v>45841</v>
      </c>
      <c r="M272" s="234">
        <v>45876</v>
      </c>
      <c r="N272" s="81"/>
      <c r="O272" s="22" t="s">
        <v>133</v>
      </c>
      <c r="P272" s="81" t="s">
        <v>54</v>
      </c>
      <c r="Q272" s="81"/>
    </row>
    <row r="273" spans="1:18" ht="14.45" customHeight="1" x14ac:dyDescent="0.25">
      <c r="A273" s="11">
        <v>2025</v>
      </c>
      <c r="B273" s="81">
        <v>161</v>
      </c>
      <c r="C273" s="213" t="str">
        <f>B273&amp;-25</f>
        <v>161-25</v>
      </c>
      <c r="D273" s="213" t="s">
        <v>636</v>
      </c>
      <c r="E273" s="81" t="s">
        <v>637</v>
      </c>
      <c r="F273" s="81" t="s">
        <v>366</v>
      </c>
      <c r="G273" s="11" t="s">
        <v>20</v>
      </c>
      <c r="H273" s="373">
        <v>202518739341</v>
      </c>
      <c r="I273" s="332">
        <v>348</v>
      </c>
      <c r="J273" s="4" t="s">
        <v>1611</v>
      </c>
      <c r="K273" s="213"/>
      <c r="L273" s="289">
        <v>45866</v>
      </c>
      <c r="M273" s="81"/>
      <c r="N273" s="81"/>
      <c r="O273" s="213"/>
      <c r="P273" s="213" t="s">
        <v>24</v>
      </c>
      <c r="Q273" s="251"/>
    </row>
    <row r="274" spans="1:18" ht="15" customHeight="1" x14ac:dyDescent="0.25">
      <c r="A274" s="11">
        <v>2025</v>
      </c>
      <c r="B274" s="81">
        <v>162</v>
      </c>
      <c r="C274" s="213" t="str">
        <f>B274&amp;-25</f>
        <v>162-25</v>
      </c>
      <c r="D274" s="213" t="s">
        <v>638</v>
      </c>
      <c r="E274" s="81" t="s">
        <v>639</v>
      </c>
      <c r="F274" s="81" t="s">
        <v>104</v>
      </c>
      <c r="G274" s="213" t="s">
        <v>640</v>
      </c>
      <c r="H274" s="372">
        <v>202518727873</v>
      </c>
      <c r="I274" s="332">
        <v>2092</v>
      </c>
      <c r="J274" s="4" t="s">
        <v>1618</v>
      </c>
      <c r="K274" s="213"/>
      <c r="L274" s="289">
        <v>45841</v>
      </c>
      <c r="M274" s="81"/>
      <c r="N274" s="81"/>
      <c r="O274" s="213"/>
      <c r="P274" s="213" t="s">
        <v>24</v>
      </c>
      <c r="Q274" s="213"/>
    </row>
    <row r="275" spans="1:18" ht="15" customHeight="1" x14ac:dyDescent="0.25">
      <c r="A275" s="11">
        <v>2025</v>
      </c>
      <c r="B275" s="81">
        <v>163</v>
      </c>
      <c r="C275" s="81" t="str">
        <f>B275&amp;-25</f>
        <v>163-25</v>
      </c>
      <c r="D275" s="81" t="s">
        <v>641</v>
      </c>
      <c r="E275" s="81"/>
      <c r="F275" s="81"/>
      <c r="G275" s="81"/>
      <c r="H275" s="85"/>
      <c r="I275" s="326"/>
      <c r="J275" s="4" t="s">
        <v>1611</v>
      </c>
      <c r="K275" s="81"/>
      <c r="L275" s="84"/>
      <c r="M275" s="81"/>
      <c r="N275" s="81"/>
      <c r="O275" s="81"/>
      <c r="P275" s="81"/>
      <c r="Q275" s="251" t="s">
        <v>1583</v>
      </c>
    </row>
    <row r="276" spans="1:18" ht="15" customHeight="1" x14ac:dyDescent="0.25">
      <c r="A276" s="6">
        <v>2025</v>
      </c>
      <c r="B276" s="81">
        <v>164</v>
      </c>
      <c r="C276" s="81" t="str">
        <f>B276&amp;-25</f>
        <v>164-25</v>
      </c>
      <c r="D276" s="81" t="s">
        <v>642</v>
      </c>
      <c r="E276" s="81"/>
      <c r="F276" s="81"/>
      <c r="G276" s="81"/>
      <c r="H276" s="85"/>
      <c r="I276" s="326">
        <v>635.79999999999995</v>
      </c>
      <c r="J276" s="4" t="s">
        <v>1618</v>
      </c>
      <c r="K276" s="81"/>
      <c r="L276" s="84">
        <v>45851</v>
      </c>
      <c r="M276" s="81"/>
      <c r="N276" s="81"/>
      <c r="O276" s="22" t="s">
        <v>133</v>
      </c>
      <c r="P276" s="81" t="s">
        <v>54</v>
      </c>
      <c r="Q276" s="81"/>
    </row>
    <row r="277" spans="1:18" ht="16.5" customHeight="1" x14ac:dyDescent="0.3">
      <c r="A277" s="6">
        <v>2025</v>
      </c>
      <c r="B277" s="81">
        <v>165</v>
      </c>
      <c r="C277" s="81" t="str">
        <f>B277&amp;-25</f>
        <v>165-25</v>
      </c>
      <c r="D277" s="81" t="s">
        <v>643</v>
      </c>
      <c r="E277" s="256" t="s">
        <v>644</v>
      </c>
      <c r="F277" s="81" t="s">
        <v>52</v>
      </c>
      <c r="G277" s="81" t="s">
        <v>629</v>
      </c>
      <c r="H277" s="232">
        <v>202518779560</v>
      </c>
      <c r="I277" s="326">
        <v>220</v>
      </c>
      <c r="J277" s="4" t="s">
        <v>1611</v>
      </c>
      <c r="K277" s="81"/>
      <c r="L277" s="84">
        <v>45859</v>
      </c>
      <c r="M277" s="81"/>
      <c r="N277" s="81"/>
      <c r="O277" s="22" t="s">
        <v>49</v>
      </c>
      <c r="P277" s="81" t="s">
        <v>54</v>
      </c>
      <c r="Q277" s="251"/>
    </row>
    <row r="278" spans="1:18" ht="15" customHeight="1" x14ac:dyDescent="0.25">
      <c r="A278" s="6">
        <v>2025</v>
      </c>
      <c r="B278" s="81">
        <v>166</v>
      </c>
      <c r="C278" s="81" t="str">
        <f>B278&amp;-25</f>
        <v>166-25</v>
      </c>
      <c r="D278" s="81" t="s">
        <v>645</v>
      </c>
      <c r="E278" s="81"/>
      <c r="F278" s="81" t="s">
        <v>85</v>
      </c>
      <c r="G278" s="81" t="s">
        <v>629</v>
      </c>
      <c r="H278" s="232">
        <v>202518767415</v>
      </c>
      <c r="I278" s="326">
        <v>51811.853999999999</v>
      </c>
      <c r="J278" s="4" t="s">
        <v>1611</v>
      </c>
      <c r="K278" s="81"/>
      <c r="L278" s="84">
        <v>45860</v>
      </c>
      <c r="M278" s="81"/>
      <c r="N278" s="81"/>
      <c r="O278" s="81" t="s">
        <v>508</v>
      </c>
      <c r="P278" s="81" t="s">
        <v>54</v>
      </c>
      <c r="Q278" s="251"/>
    </row>
    <row r="279" spans="1:18" ht="16.5" customHeight="1" x14ac:dyDescent="0.3">
      <c r="A279" s="6">
        <v>2025</v>
      </c>
      <c r="B279" s="81">
        <v>167</v>
      </c>
      <c r="C279" s="81" t="str">
        <f>B279&amp;-25</f>
        <v>167-25</v>
      </c>
      <c r="D279" s="81" t="s">
        <v>646</v>
      </c>
      <c r="E279" s="256" t="s">
        <v>647</v>
      </c>
      <c r="F279" s="81" t="s">
        <v>101</v>
      </c>
      <c r="G279" s="81" t="s">
        <v>629</v>
      </c>
      <c r="H279" s="232">
        <v>202518769928</v>
      </c>
      <c r="I279" s="326">
        <v>851.4</v>
      </c>
      <c r="J279" s="4" t="s">
        <v>1611</v>
      </c>
      <c r="K279" s="81"/>
      <c r="L279" s="84">
        <v>45855</v>
      </c>
      <c r="M279" s="81"/>
      <c r="N279" s="81"/>
      <c r="O279" s="81" t="s">
        <v>508</v>
      </c>
      <c r="P279" s="81" t="s">
        <v>54</v>
      </c>
      <c r="Q279" s="251"/>
    </row>
    <row r="280" spans="1:18" ht="15" customHeight="1" x14ac:dyDescent="0.25">
      <c r="A280" s="11">
        <v>2025</v>
      </c>
      <c r="B280" s="81">
        <v>168</v>
      </c>
      <c r="C280" s="213" t="str">
        <f>B280&amp;-25</f>
        <v>168-25</v>
      </c>
      <c r="D280" s="213" t="s">
        <v>648</v>
      </c>
      <c r="E280" s="81" t="s">
        <v>649</v>
      </c>
      <c r="F280" s="81" t="s">
        <v>153</v>
      </c>
      <c r="G280" s="11" t="s">
        <v>20</v>
      </c>
      <c r="H280" s="372">
        <v>202518765141</v>
      </c>
      <c r="I280" s="332">
        <v>5250</v>
      </c>
      <c r="J280" s="4" t="s">
        <v>1611</v>
      </c>
      <c r="K280" s="213"/>
      <c r="L280" s="289">
        <v>45854</v>
      </c>
      <c r="M280" s="81"/>
      <c r="N280" s="81"/>
      <c r="O280" s="213"/>
      <c r="P280" s="213" t="s">
        <v>24</v>
      </c>
      <c r="Q280" s="251"/>
    </row>
    <row r="281" spans="1:18" ht="16.5" customHeight="1" x14ac:dyDescent="0.3">
      <c r="A281" s="6">
        <v>2025</v>
      </c>
      <c r="B281" s="81">
        <v>169</v>
      </c>
      <c r="C281" s="81" t="str">
        <f>B281&amp;-25</f>
        <v>169-25</v>
      </c>
      <c r="D281" s="81" t="s">
        <v>651</v>
      </c>
      <c r="E281" s="256" t="s">
        <v>652</v>
      </c>
      <c r="F281" s="81" t="s">
        <v>85</v>
      </c>
      <c r="G281" s="81" t="s">
        <v>1506</v>
      </c>
      <c r="H281" s="232">
        <v>202518769184</v>
      </c>
      <c r="I281" s="326">
        <v>1522.8</v>
      </c>
      <c r="J281" s="4" t="s">
        <v>1615</v>
      </c>
      <c r="K281" s="81"/>
      <c r="L281" s="84">
        <v>45859</v>
      </c>
      <c r="M281" s="81"/>
      <c r="N281" s="81"/>
      <c r="O281" s="22" t="s">
        <v>133</v>
      </c>
      <c r="P281" s="81" t="s">
        <v>54</v>
      </c>
      <c r="Q281" s="251"/>
    </row>
    <row r="282" spans="1:18" ht="15" customHeight="1" x14ac:dyDescent="0.25">
      <c r="A282" s="290">
        <v>2025</v>
      </c>
      <c r="B282" s="291">
        <v>170</v>
      </c>
      <c r="C282" s="291" t="str">
        <f>B282&amp;-25</f>
        <v>170-25</v>
      </c>
      <c r="D282" s="291" t="s">
        <v>653</v>
      </c>
      <c r="E282" s="291"/>
      <c r="F282" s="291"/>
      <c r="G282" s="291"/>
      <c r="H282" s="292"/>
      <c r="I282" s="291"/>
      <c r="J282" s="4" t="s">
        <v>1611</v>
      </c>
      <c r="K282" s="291"/>
      <c r="L282" s="293"/>
      <c r="M282" s="291"/>
      <c r="N282" s="291"/>
      <c r="O282" s="291"/>
      <c r="P282" s="291"/>
      <c r="Q282" s="251" t="s">
        <v>1584</v>
      </c>
      <c r="R282" s="294"/>
    </row>
    <row r="283" spans="1:18" x14ac:dyDescent="0.25">
      <c r="A283" s="11">
        <v>2025</v>
      </c>
      <c r="B283" s="81">
        <v>171</v>
      </c>
      <c r="C283" s="213" t="str">
        <f>B283&amp;-25</f>
        <v>171-25</v>
      </c>
      <c r="D283" s="213" t="s">
        <v>654</v>
      </c>
      <c r="E283" s="81" t="s">
        <v>655</v>
      </c>
      <c r="F283" s="81" t="s">
        <v>57</v>
      </c>
      <c r="G283" s="11" t="s">
        <v>20</v>
      </c>
      <c r="H283" s="372">
        <v>202518778028</v>
      </c>
      <c r="I283" s="332">
        <v>32726</v>
      </c>
      <c r="J283" s="4" t="s">
        <v>1611</v>
      </c>
      <c r="K283" s="213"/>
      <c r="L283" s="289">
        <v>45859</v>
      </c>
      <c r="M283" s="81"/>
      <c r="N283" s="81"/>
      <c r="O283" s="213"/>
      <c r="P283" s="213" t="s">
        <v>24</v>
      </c>
      <c r="Q283" s="251"/>
    </row>
    <row r="284" spans="1:18" ht="16.5" customHeight="1" x14ac:dyDescent="0.3">
      <c r="A284" s="6">
        <v>2025</v>
      </c>
      <c r="B284" s="81">
        <v>172</v>
      </c>
      <c r="C284" s="81" t="str">
        <f>B284&amp;-25</f>
        <v>172-25</v>
      </c>
      <c r="D284" s="81" t="s">
        <v>656</v>
      </c>
      <c r="E284" s="256" t="s">
        <v>657</v>
      </c>
      <c r="F284" s="81" t="s">
        <v>101</v>
      </c>
      <c r="G284" s="81" t="s">
        <v>629</v>
      </c>
      <c r="H284" s="232">
        <v>202518787496</v>
      </c>
      <c r="I284" s="326">
        <v>429</v>
      </c>
      <c r="J284" s="4" t="s">
        <v>1611</v>
      </c>
      <c r="K284" s="81"/>
      <c r="L284" s="84">
        <v>45861</v>
      </c>
      <c r="M284" s="81"/>
      <c r="N284" s="81"/>
      <c r="O284" s="81" t="s">
        <v>508</v>
      </c>
      <c r="P284" s="81" t="s">
        <v>54</v>
      </c>
      <c r="Q284" s="251"/>
    </row>
    <row r="285" spans="1:18" ht="15" customHeight="1" x14ac:dyDescent="0.25">
      <c r="A285" s="11">
        <v>2025</v>
      </c>
      <c r="B285" s="81">
        <v>173</v>
      </c>
      <c r="C285" s="213" t="str">
        <f>B285&amp;-25</f>
        <v>173-25</v>
      </c>
      <c r="D285" s="213" t="s">
        <v>658</v>
      </c>
      <c r="E285" s="81" t="s">
        <v>659</v>
      </c>
      <c r="F285" s="81" t="s">
        <v>118</v>
      </c>
      <c r="G285" s="11" t="s">
        <v>20</v>
      </c>
      <c r="H285" s="372">
        <v>202518784297</v>
      </c>
      <c r="I285" s="332">
        <v>4242</v>
      </c>
      <c r="J285" s="4" t="s">
        <v>1611</v>
      </c>
      <c r="K285" s="213"/>
      <c r="L285" s="289">
        <v>45866</v>
      </c>
      <c r="M285" s="81"/>
      <c r="N285" s="81"/>
      <c r="O285" s="213"/>
      <c r="P285" s="213" t="s">
        <v>24</v>
      </c>
      <c r="Q285" s="251"/>
    </row>
    <row r="286" spans="1:18" ht="16.5" customHeight="1" x14ac:dyDescent="0.3">
      <c r="A286" s="6">
        <v>2025</v>
      </c>
      <c r="B286" s="81">
        <v>174</v>
      </c>
      <c r="C286" s="81" t="str">
        <f>B286&amp;-25</f>
        <v>174-25</v>
      </c>
      <c r="D286" s="81" t="s">
        <v>660</v>
      </c>
      <c r="E286" s="256" t="s">
        <v>661</v>
      </c>
      <c r="F286" s="81" t="s">
        <v>52</v>
      </c>
      <c r="G286" s="81" t="s">
        <v>629</v>
      </c>
      <c r="H286" s="232">
        <v>202518788146</v>
      </c>
      <c r="I286" s="326">
        <v>950.4</v>
      </c>
      <c r="J286" s="4" t="s">
        <v>1611</v>
      </c>
      <c r="K286" s="81"/>
      <c r="L286" s="84">
        <v>45861</v>
      </c>
      <c r="M286" s="81"/>
      <c r="N286" s="81"/>
      <c r="O286" s="22" t="s">
        <v>133</v>
      </c>
      <c r="P286" s="81" t="s">
        <v>54</v>
      </c>
      <c r="Q286" s="251"/>
    </row>
    <row r="287" spans="1:18" x14ac:dyDescent="0.25">
      <c r="A287" s="11">
        <v>2025</v>
      </c>
      <c r="B287" s="81">
        <v>175</v>
      </c>
      <c r="C287" s="81" t="str">
        <f>B287&amp;-25</f>
        <v>175-25</v>
      </c>
      <c r="D287" s="81" t="s">
        <v>662</v>
      </c>
      <c r="E287" s="81"/>
      <c r="F287" s="81"/>
      <c r="G287" s="81"/>
      <c r="H287" s="85"/>
      <c r="I287" s="326"/>
      <c r="J287" s="4" t="s">
        <v>1611</v>
      </c>
      <c r="K287" s="81"/>
      <c r="L287" s="84"/>
      <c r="M287" s="81"/>
      <c r="N287" s="81"/>
      <c r="O287" s="81"/>
      <c r="P287" s="81"/>
      <c r="Q287" s="251" t="s">
        <v>1585</v>
      </c>
    </row>
    <row r="288" spans="1:18" ht="14.45" customHeight="1" x14ac:dyDescent="0.25">
      <c r="A288" s="11">
        <v>2025</v>
      </c>
      <c r="B288" s="81">
        <v>176</v>
      </c>
      <c r="C288" s="213" t="str">
        <f>B288&amp;-25</f>
        <v>176-25</v>
      </c>
      <c r="D288" s="213" t="s">
        <v>663</v>
      </c>
      <c r="E288" s="81" t="s">
        <v>664</v>
      </c>
      <c r="F288" s="81" t="s">
        <v>620</v>
      </c>
      <c r="G288" s="213" t="s">
        <v>665</v>
      </c>
      <c r="H288" s="372">
        <v>202518803858</v>
      </c>
      <c r="I288" s="332">
        <v>2145</v>
      </c>
      <c r="J288" s="4" t="s">
        <v>1611</v>
      </c>
      <c r="K288" s="213"/>
      <c r="L288" s="289"/>
      <c r="M288" s="81"/>
      <c r="N288" s="81"/>
      <c r="O288" s="213"/>
      <c r="P288" s="213" t="s">
        <v>24</v>
      </c>
      <c r="Q288" s="251"/>
    </row>
    <row r="289" spans="1:17" ht="16.5" customHeight="1" x14ac:dyDescent="0.3">
      <c r="A289" s="11">
        <v>2025</v>
      </c>
      <c r="B289" s="81">
        <v>177</v>
      </c>
      <c r="C289" s="213" t="str">
        <f>B289&amp;-25</f>
        <v>177-25</v>
      </c>
      <c r="D289" s="213" t="s">
        <v>666</v>
      </c>
      <c r="E289" s="256" t="s">
        <v>667</v>
      </c>
      <c r="F289" s="81" t="s">
        <v>118</v>
      </c>
      <c r="G289" s="11" t="s">
        <v>20</v>
      </c>
      <c r="H289" s="372">
        <v>202518804447</v>
      </c>
      <c r="I289" s="332">
        <v>50320</v>
      </c>
      <c r="J289" s="4" t="s">
        <v>1611</v>
      </c>
      <c r="K289" s="213"/>
      <c r="L289" s="289">
        <v>45867</v>
      </c>
      <c r="M289" s="81"/>
      <c r="N289" s="81"/>
      <c r="O289" s="213"/>
      <c r="P289" s="213" t="s">
        <v>24</v>
      </c>
      <c r="Q289" s="251"/>
    </row>
    <row r="290" spans="1:17" x14ac:dyDescent="0.25">
      <c r="A290" s="11">
        <v>2025</v>
      </c>
      <c r="B290" s="81">
        <v>178</v>
      </c>
      <c r="C290" s="81" t="str">
        <f>B290&amp;-25</f>
        <v>178-25</v>
      </c>
      <c r="D290" s="81" t="s">
        <v>668</v>
      </c>
      <c r="E290" s="81"/>
      <c r="F290" s="81"/>
      <c r="G290" s="81"/>
      <c r="H290" s="85"/>
      <c r="I290" s="326"/>
      <c r="J290" s="4" t="s">
        <v>1611</v>
      </c>
      <c r="K290" s="81"/>
      <c r="L290" s="84"/>
      <c r="M290" s="81"/>
      <c r="N290" s="81"/>
      <c r="O290" s="81"/>
      <c r="P290" s="81"/>
      <c r="Q290" s="251" t="s">
        <v>1586</v>
      </c>
    </row>
    <row r="291" spans="1:17" ht="16.5" customHeight="1" x14ac:dyDescent="0.3">
      <c r="A291" s="6">
        <v>2025</v>
      </c>
      <c r="B291" s="81">
        <v>179</v>
      </c>
      <c r="C291" s="81" t="str">
        <f>B291&amp;-25</f>
        <v>179-25</v>
      </c>
      <c r="D291" s="81" t="s">
        <v>669</v>
      </c>
      <c r="E291" s="256" t="s">
        <v>670</v>
      </c>
      <c r="F291" s="81" t="s">
        <v>101</v>
      </c>
      <c r="G291" s="81" t="s">
        <v>629</v>
      </c>
      <c r="H291" s="232">
        <v>202518800810</v>
      </c>
      <c r="I291" s="326">
        <v>2845.98</v>
      </c>
      <c r="J291" s="4" t="s">
        <v>1611</v>
      </c>
      <c r="K291" s="81"/>
      <c r="L291" s="84">
        <v>45868</v>
      </c>
      <c r="M291" s="81"/>
      <c r="N291" s="81"/>
      <c r="O291" s="81" t="s">
        <v>508</v>
      </c>
      <c r="P291" s="81" t="s">
        <v>54</v>
      </c>
      <c r="Q291" s="251"/>
    </row>
    <row r="292" spans="1:17" x14ac:dyDescent="0.25">
      <c r="A292" s="6">
        <v>2025</v>
      </c>
      <c r="B292" s="81">
        <v>180</v>
      </c>
      <c r="C292" s="81" t="str">
        <f>B292&amp;-25</f>
        <v>180-25</v>
      </c>
      <c r="D292" s="81" t="s">
        <v>671</v>
      </c>
      <c r="E292" s="81" t="s">
        <v>672</v>
      </c>
      <c r="F292" s="81" t="s">
        <v>195</v>
      </c>
      <c r="G292" s="81" t="s">
        <v>296</v>
      </c>
      <c r="H292" s="232">
        <v>202518801111</v>
      </c>
      <c r="I292" s="326">
        <v>286</v>
      </c>
      <c r="J292" s="4" t="s">
        <v>1618</v>
      </c>
      <c r="K292" s="81"/>
      <c r="L292" s="84">
        <v>45867</v>
      </c>
      <c r="M292" s="234">
        <v>45896</v>
      </c>
      <c r="N292" s="81"/>
      <c r="O292" s="81" t="s">
        <v>673</v>
      </c>
      <c r="P292" s="81" t="s">
        <v>54</v>
      </c>
      <c r="Q292" s="81"/>
    </row>
    <row r="293" spans="1:17" ht="16.5" customHeight="1" x14ac:dyDescent="0.3">
      <c r="A293" s="6">
        <v>2025</v>
      </c>
      <c r="B293" s="81">
        <v>181</v>
      </c>
      <c r="C293" s="81" t="str">
        <f>B293&amp;-25</f>
        <v>181-25</v>
      </c>
      <c r="D293" s="81" t="s">
        <v>674</v>
      </c>
      <c r="E293" s="256" t="s">
        <v>675</v>
      </c>
      <c r="F293" s="81" t="s">
        <v>101</v>
      </c>
      <c r="G293" s="6" t="s">
        <v>20</v>
      </c>
      <c r="H293" s="232">
        <v>202518801637</v>
      </c>
      <c r="I293" s="326">
        <v>924</v>
      </c>
      <c r="J293" s="4" t="s">
        <v>1618</v>
      </c>
      <c r="K293" s="81"/>
      <c r="L293" s="84">
        <v>45906</v>
      </c>
      <c r="M293" s="81"/>
      <c r="N293" s="81"/>
      <c r="O293" s="22" t="s">
        <v>102</v>
      </c>
      <c r="P293" s="81" t="s">
        <v>54</v>
      </c>
      <c r="Q293" s="251"/>
    </row>
    <row r="294" spans="1:17" ht="16.5" customHeight="1" x14ac:dyDescent="0.3">
      <c r="A294" s="6">
        <v>2025</v>
      </c>
      <c r="B294" s="81">
        <v>182</v>
      </c>
      <c r="C294" s="81" t="str">
        <f>B294&amp;-25</f>
        <v>182-25</v>
      </c>
      <c r="D294" s="81" t="s">
        <v>676</v>
      </c>
      <c r="E294" s="256" t="s">
        <v>677</v>
      </c>
      <c r="F294" s="81" t="s">
        <v>101</v>
      </c>
      <c r="G294" s="81" t="s">
        <v>629</v>
      </c>
      <c r="H294" s="232">
        <v>202518801601</v>
      </c>
      <c r="I294" s="326">
        <v>682</v>
      </c>
      <c r="J294" s="4" t="s">
        <v>1611</v>
      </c>
      <c r="K294" s="81"/>
      <c r="L294" s="84">
        <v>45898</v>
      </c>
      <c r="M294" s="81"/>
      <c r="N294" s="81"/>
      <c r="O294" s="81" t="s">
        <v>508</v>
      </c>
      <c r="P294" s="81" t="s">
        <v>54</v>
      </c>
      <c r="Q294" s="251"/>
    </row>
    <row r="295" spans="1:17" ht="16.5" customHeight="1" x14ac:dyDescent="0.3">
      <c r="A295" s="6">
        <v>2025</v>
      </c>
      <c r="B295" s="81">
        <v>183</v>
      </c>
      <c r="C295" s="81" t="str">
        <f>B295&amp;-25</f>
        <v>183-25</v>
      </c>
      <c r="D295" s="81" t="s">
        <v>678</v>
      </c>
      <c r="E295" s="256" t="s">
        <v>679</v>
      </c>
      <c r="F295" s="81" t="s">
        <v>197</v>
      </c>
      <c r="G295" s="81" t="s">
        <v>296</v>
      </c>
      <c r="H295" s="232">
        <v>202518819617</v>
      </c>
      <c r="I295" s="326">
        <v>257.39999999999998</v>
      </c>
      <c r="J295" s="4" t="s">
        <v>1618</v>
      </c>
      <c r="K295" s="81"/>
      <c r="L295" s="84">
        <v>45903</v>
      </c>
      <c r="M295" s="81"/>
      <c r="N295" s="81"/>
      <c r="O295" s="22" t="s">
        <v>133</v>
      </c>
      <c r="P295" s="81" t="s">
        <v>54</v>
      </c>
      <c r="Q295" s="81"/>
    </row>
    <row r="296" spans="1:17" ht="15" customHeight="1" x14ac:dyDescent="0.25">
      <c r="A296" s="11">
        <v>2025</v>
      </c>
      <c r="B296" s="81">
        <v>184</v>
      </c>
      <c r="C296" s="81" t="str">
        <f>B296&amp;-25</f>
        <v>184-25</v>
      </c>
      <c r="D296" s="81" t="s">
        <v>680</v>
      </c>
      <c r="E296" s="81" t="s">
        <v>681</v>
      </c>
      <c r="F296" s="81" t="s">
        <v>682</v>
      </c>
      <c r="G296" s="6" t="s">
        <v>20</v>
      </c>
      <c r="H296" s="269" t="s">
        <v>683</v>
      </c>
      <c r="I296" s="326"/>
      <c r="J296" s="4" t="s">
        <v>1611</v>
      </c>
      <c r="K296" s="81"/>
      <c r="L296" s="84"/>
      <c r="M296" s="81"/>
      <c r="N296" s="81"/>
      <c r="O296" s="81"/>
      <c r="P296" s="81"/>
      <c r="Q296" s="251" t="s">
        <v>1586</v>
      </c>
    </row>
    <row r="297" spans="1:17" x14ac:dyDescent="0.25">
      <c r="A297" s="6">
        <v>2025</v>
      </c>
      <c r="B297" s="81">
        <v>185</v>
      </c>
      <c r="C297" s="81" t="str">
        <f>B297&amp;-25</f>
        <v>185-25</v>
      </c>
      <c r="D297" s="81" t="s">
        <v>684</v>
      </c>
      <c r="E297" s="81" t="s">
        <v>685</v>
      </c>
      <c r="F297" s="81" t="s">
        <v>101</v>
      </c>
      <c r="G297" s="81" t="s">
        <v>296</v>
      </c>
      <c r="H297" s="232">
        <v>202518819590</v>
      </c>
      <c r="I297" s="326">
        <v>792</v>
      </c>
      <c r="J297" s="4" t="s">
        <v>1618</v>
      </c>
      <c r="K297" s="81"/>
      <c r="L297" s="84">
        <v>45892</v>
      </c>
      <c r="M297" s="234">
        <v>45892</v>
      </c>
      <c r="N297" s="81"/>
      <c r="O297" s="22" t="s">
        <v>102</v>
      </c>
      <c r="P297" s="81" t="s">
        <v>54</v>
      </c>
      <c r="Q297" s="81"/>
    </row>
    <row r="298" spans="1:17" ht="15" customHeight="1" x14ac:dyDescent="0.25">
      <c r="A298" s="6">
        <v>2025</v>
      </c>
      <c r="B298" s="81">
        <v>186</v>
      </c>
      <c r="C298" s="213" t="str">
        <f>B298&amp;-25</f>
        <v>186-25</v>
      </c>
      <c r="D298" s="213" t="s">
        <v>1253</v>
      </c>
      <c r="E298" s="81"/>
      <c r="F298" s="81"/>
      <c r="G298" s="11" t="s">
        <v>20</v>
      </c>
      <c r="H298" s="372" t="s">
        <v>1580</v>
      </c>
      <c r="I298" s="332">
        <v>4955</v>
      </c>
      <c r="J298" s="4" t="s">
        <v>1611</v>
      </c>
      <c r="K298" s="213"/>
      <c r="L298" s="289"/>
      <c r="M298" s="81"/>
      <c r="N298" s="81"/>
      <c r="O298" s="43" t="s">
        <v>133</v>
      </c>
      <c r="P298" s="213" t="s">
        <v>24</v>
      </c>
      <c r="Q298" s="251"/>
    </row>
    <row r="299" spans="1:17" s="294" customFormat="1" ht="15" customHeight="1" x14ac:dyDescent="0.25">
      <c r="A299" s="290">
        <v>2025</v>
      </c>
      <c r="B299" s="291">
        <v>187</v>
      </c>
      <c r="C299" s="291" t="str">
        <f>B299&amp;-25</f>
        <v>187-25</v>
      </c>
      <c r="D299" s="291" t="s">
        <v>686</v>
      </c>
      <c r="E299" s="291" t="s">
        <v>687</v>
      </c>
      <c r="F299" s="291" t="s">
        <v>366</v>
      </c>
      <c r="G299" s="291" t="s">
        <v>488</v>
      </c>
      <c r="H299" s="295">
        <v>202518820518</v>
      </c>
      <c r="I299" s="328">
        <v>584.29999999999995</v>
      </c>
      <c r="J299" s="4" t="s">
        <v>1618</v>
      </c>
      <c r="K299" s="291"/>
      <c r="L299" s="293">
        <v>45873</v>
      </c>
      <c r="M299" s="291"/>
      <c r="N299" s="291"/>
      <c r="O299" s="22" t="s">
        <v>133</v>
      </c>
      <c r="P299" s="291" t="s">
        <v>238</v>
      </c>
      <c r="Q299" s="291"/>
    </row>
    <row r="300" spans="1:17" x14ac:dyDescent="0.25">
      <c r="A300" s="11">
        <v>2025</v>
      </c>
      <c r="B300" s="81">
        <v>188</v>
      </c>
      <c r="C300" s="81" t="str">
        <f>B300&amp;-25</f>
        <v>188-25</v>
      </c>
      <c r="D300" s="81" t="s">
        <v>688</v>
      </c>
      <c r="E300" s="81" t="s">
        <v>689</v>
      </c>
      <c r="F300" s="81" t="s">
        <v>690</v>
      </c>
      <c r="G300" s="6" t="s">
        <v>20</v>
      </c>
      <c r="H300" s="269" t="s">
        <v>691</v>
      </c>
      <c r="I300" s="326"/>
      <c r="J300" s="4" t="s">
        <v>1611</v>
      </c>
      <c r="K300" s="81"/>
      <c r="L300" s="84"/>
      <c r="M300" s="81"/>
      <c r="N300" s="81"/>
      <c r="O300" s="81"/>
      <c r="P300" s="81"/>
      <c r="Q300" s="251" t="s">
        <v>1587</v>
      </c>
    </row>
    <row r="301" spans="1:17" s="343" customFormat="1" x14ac:dyDescent="0.25">
      <c r="A301" s="8">
        <v>2025</v>
      </c>
      <c r="B301" s="83">
        <v>189</v>
      </c>
      <c r="C301" s="83" t="str">
        <f>B301&amp;-25</f>
        <v>189-25</v>
      </c>
      <c r="D301" s="83" t="s">
        <v>692</v>
      </c>
      <c r="E301" s="83" t="s">
        <v>693</v>
      </c>
      <c r="F301" s="83" t="s">
        <v>366</v>
      </c>
      <c r="G301" s="83" t="s">
        <v>527</v>
      </c>
      <c r="H301" s="365">
        <v>202518872953</v>
      </c>
      <c r="I301" s="358">
        <v>449.9</v>
      </c>
      <c r="J301" s="4" t="s">
        <v>1618</v>
      </c>
      <c r="K301" s="83"/>
      <c r="L301" s="359">
        <v>45873</v>
      </c>
      <c r="M301" s="83" t="s">
        <v>694</v>
      </c>
      <c r="N301" s="83"/>
      <c r="O301" s="22" t="s">
        <v>133</v>
      </c>
      <c r="P301" s="83" t="s">
        <v>238</v>
      </c>
      <c r="Q301" s="83"/>
    </row>
    <row r="302" spans="1:17" s="343" customFormat="1" ht="15" customHeight="1" x14ac:dyDescent="0.25">
      <c r="A302" s="8">
        <v>2025</v>
      </c>
      <c r="B302" s="83">
        <v>190</v>
      </c>
      <c r="C302" s="83" t="s">
        <v>695</v>
      </c>
      <c r="D302" s="83" t="s">
        <v>696</v>
      </c>
      <c r="E302" s="83"/>
      <c r="F302" s="83"/>
      <c r="G302" s="337" t="s">
        <v>665</v>
      </c>
      <c r="H302" s="357"/>
      <c r="I302" s="358"/>
      <c r="J302" s="4" t="s">
        <v>1622</v>
      </c>
      <c r="K302" s="83" t="s">
        <v>808</v>
      </c>
      <c r="L302" s="359"/>
      <c r="M302" s="83"/>
      <c r="N302" s="83"/>
      <c r="O302" s="363"/>
      <c r="P302" s="83" t="s">
        <v>238</v>
      </c>
      <c r="Q302" s="342"/>
    </row>
    <row r="303" spans="1:17" ht="15" customHeight="1" x14ac:dyDescent="0.25">
      <c r="A303" s="11">
        <v>2025</v>
      </c>
      <c r="B303" s="81">
        <v>191</v>
      </c>
      <c r="C303" s="81" t="s">
        <v>697</v>
      </c>
      <c r="D303" s="81" t="s">
        <v>698</v>
      </c>
      <c r="E303" s="81" t="s">
        <v>699</v>
      </c>
      <c r="F303" s="81" t="s">
        <v>700</v>
      </c>
      <c r="G303" s="6" t="s">
        <v>20</v>
      </c>
      <c r="H303" s="269" t="s">
        <v>701</v>
      </c>
      <c r="I303" s="326"/>
      <c r="J303" s="4" t="s">
        <v>1611</v>
      </c>
      <c r="K303" s="81"/>
      <c r="L303" s="84"/>
      <c r="M303" s="81"/>
      <c r="N303" s="81"/>
      <c r="O303" s="81"/>
      <c r="P303" s="81"/>
      <c r="Q303" s="251" t="s">
        <v>1588</v>
      </c>
    </row>
    <row r="304" spans="1:17" x14ac:dyDescent="0.25">
      <c r="A304" s="11">
        <v>2025</v>
      </c>
      <c r="B304" s="81">
        <v>192</v>
      </c>
      <c r="C304" s="81" t="s">
        <v>702</v>
      </c>
      <c r="D304" s="81" t="s">
        <v>703</v>
      </c>
      <c r="E304" s="81"/>
      <c r="F304" s="81"/>
      <c r="G304" s="81"/>
      <c r="H304" s="85"/>
      <c r="I304" s="326"/>
      <c r="J304" s="4" t="s">
        <v>1611</v>
      </c>
      <c r="K304" s="81"/>
      <c r="L304" s="84"/>
      <c r="M304" s="81"/>
      <c r="N304" s="81"/>
      <c r="O304" s="81"/>
      <c r="P304" s="81"/>
      <c r="Q304" s="251" t="s">
        <v>1589</v>
      </c>
    </row>
    <row r="305" spans="1:17" x14ac:dyDescent="0.25">
      <c r="A305" s="11">
        <v>2025</v>
      </c>
      <c r="B305" s="81">
        <v>193</v>
      </c>
      <c r="C305" s="81" t="s">
        <v>704</v>
      </c>
      <c r="D305" s="81" t="s">
        <v>705</v>
      </c>
      <c r="E305" s="265" t="s">
        <v>706</v>
      </c>
      <c r="F305" s="81" t="s">
        <v>620</v>
      </c>
      <c r="G305" s="6" t="s">
        <v>20</v>
      </c>
      <c r="H305" s="85">
        <v>2005181301</v>
      </c>
      <c r="I305" s="326"/>
      <c r="J305" s="4" t="s">
        <v>1611</v>
      </c>
      <c r="K305" s="81"/>
      <c r="L305" s="84"/>
      <c r="M305" s="81"/>
      <c r="N305" s="81"/>
      <c r="O305" s="81"/>
      <c r="P305" s="81"/>
      <c r="Q305" s="251" t="s">
        <v>1587</v>
      </c>
    </row>
    <row r="306" spans="1:17" s="288" customFormat="1" ht="15" customHeight="1" x14ac:dyDescent="0.25">
      <c r="A306" s="242">
        <v>2025</v>
      </c>
      <c r="B306" s="285">
        <v>194</v>
      </c>
      <c r="C306" s="285" t="s">
        <v>707</v>
      </c>
      <c r="D306" s="285" t="s">
        <v>708</v>
      </c>
      <c r="E306" s="285" t="s">
        <v>709</v>
      </c>
      <c r="F306" s="285" t="s">
        <v>27</v>
      </c>
      <c r="G306" s="285" t="s">
        <v>527</v>
      </c>
      <c r="H306" s="301">
        <v>202518824550</v>
      </c>
      <c r="I306" s="327">
        <v>732.6</v>
      </c>
      <c r="J306" s="4" t="s">
        <v>1618</v>
      </c>
      <c r="K306" s="285"/>
      <c r="L306" s="287">
        <v>45874</v>
      </c>
      <c r="M306" s="285" t="s">
        <v>710</v>
      </c>
      <c r="N306" s="285"/>
      <c r="O306" s="302" t="s">
        <v>133</v>
      </c>
      <c r="P306" s="285" t="s">
        <v>238</v>
      </c>
      <c r="Q306" s="285"/>
    </row>
    <row r="307" spans="1:17" x14ac:dyDescent="0.25">
      <c r="A307" s="11">
        <v>2025</v>
      </c>
      <c r="B307" s="81">
        <v>195</v>
      </c>
      <c r="C307" s="81" t="s">
        <v>711</v>
      </c>
      <c r="D307" s="81" t="s">
        <v>712</v>
      </c>
      <c r="E307" s="81"/>
      <c r="F307" s="81" t="s">
        <v>33</v>
      </c>
      <c r="G307" s="6" t="s">
        <v>20</v>
      </c>
      <c r="H307" s="85">
        <v>20250804</v>
      </c>
      <c r="I307" s="326"/>
      <c r="J307" s="4" t="s">
        <v>1611</v>
      </c>
      <c r="K307" s="81"/>
      <c r="L307" s="84"/>
      <c r="M307" s="81"/>
      <c r="N307" s="81"/>
      <c r="O307" s="81"/>
      <c r="P307" s="81"/>
      <c r="Q307" s="251" t="s">
        <v>1587</v>
      </c>
    </row>
    <row r="308" spans="1:17" s="288" customFormat="1" ht="15" customHeight="1" x14ac:dyDescent="0.25">
      <c r="A308" s="242">
        <v>2025</v>
      </c>
      <c r="B308" s="285">
        <v>196</v>
      </c>
      <c r="C308" s="285" t="s">
        <v>713</v>
      </c>
      <c r="D308" s="285" t="s">
        <v>714</v>
      </c>
      <c r="E308" s="285" t="s">
        <v>715</v>
      </c>
      <c r="F308" s="285" t="s">
        <v>202</v>
      </c>
      <c r="G308" s="285" t="s">
        <v>650</v>
      </c>
      <c r="H308" s="301">
        <v>202518859045</v>
      </c>
      <c r="I308" s="327"/>
      <c r="J308" s="4" t="s">
        <v>1618</v>
      </c>
      <c r="K308" s="285"/>
      <c r="L308" s="287"/>
      <c r="M308" s="285"/>
      <c r="N308" s="285"/>
      <c r="O308" s="302" t="s">
        <v>133</v>
      </c>
      <c r="P308" s="285" t="s">
        <v>238</v>
      </c>
      <c r="Q308" s="285"/>
    </row>
    <row r="309" spans="1:17" ht="16.5" customHeight="1" x14ac:dyDescent="0.3">
      <c r="A309" s="6">
        <v>2025</v>
      </c>
      <c r="B309" s="81">
        <v>197</v>
      </c>
      <c r="C309" s="81" t="s">
        <v>716</v>
      </c>
      <c r="D309" s="81" t="s">
        <v>717</v>
      </c>
      <c r="E309" s="256" t="s">
        <v>718</v>
      </c>
      <c r="F309" s="81" t="s">
        <v>101</v>
      </c>
      <c r="G309" s="6" t="s">
        <v>1507</v>
      </c>
      <c r="H309" s="85"/>
      <c r="I309" s="326">
        <v>19286</v>
      </c>
      <c r="J309" s="4" t="s">
        <v>1618</v>
      </c>
      <c r="K309" s="81"/>
      <c r="L309" s="84">
        <v>45894</v>
      </c>
      <c r="M309" s="81"/>
      <c r="N309" s="81"/>
      <c r="O309" s="22" t="s">
        <v>102</v>
      </c>
      <c r="P309" s="81" t="s">
        <v>54</v>
      </c>
      <c r="Q309" s="251"/>
    </row>
    <row r="310" spans="1:17" ht="15" customHeight="1" x14ac:dyDescent="0.25">
      <c r="A310" s="11">
        <v>2025</v>
      </c>
      <c r="B310" s="81">
        <v>198</v>
      </c>
      <c r="C310" s="81" t="s">
        <v>719</v>
      </c>
      <c r="D310" s="81" t="s">
        <v>720</v>
      </c>
      <c r="E310" s="81"/>
      <c r="F310" s="81"/>
      <c r="G310" s="198" t="s">
        <v>721</v>
      </c>
      <c r="H310" s="85"/>
      <c r="I310" s="326"/>
      <c r="J310" s="4" t="s">
        <v>1622</v>
      </c>
      <c r="K310" s="81" t="s">
        <v>119</v>
      </c>
      <c r="L310" s="84"/>
      <c r="M310" s="81"/>
      <c r="N310" s="81"/>
      <c r="O310" s="81"/>
      <c r="P310" s="81"/>
      <c r="Q310" s="81"/>
    </row>
    <row r="311" spans="1:17" ht="15" customHeight="1" x14ac:dyDescent="0.25">
      <c r="A311" s="11">
        <v>2025</v>
      </c>
      <c r="B311" s="81">
        <v>199</v>
      </c>
      <c r="C311" s="81" t="s">
        <v>722</v>
      </c>
      <c r="D311" s="81" t="s">
        <v>723</v>
      </c>
      <c r="E311" s="81"/>
      <c r="F311" s="81"/>
      <c r="G311" s="81"/>
      <c r="H311" s="85"/>
      <c r="I311" s="326"/>
      <c r="J311" s="4" t="s">
        <v>1611</v>
      </c>
      <c r="K311" s="81"/>
      <c r="L311" s="84"/>
      <c r="M311" s="81"/>
      <c r="N311" s="81"/>
      <c r="O311" s="81"/>
      <c r="P311" s="81"/>
      <c r="Q311" s="251" t="s">
        <v>1587</v>
      </c>
    </row>
    <row r="312" spans="1:17" ht="16.5" customHeight="1" x14ac:dyDescent="0.3">
      <c r="A312" s="6">
        <v>2025</v>
      </c>
      <c r="B312" s="81">
        <v>200</v>
      </c>
      <c r="C312" s="81" t="s">
        <v>724</v>
      </c>
      <c r="D312" s="81" t="s">
        <v>725</v>
      </c>
      <c r="E312" s="256" t="s">
        <v>726</v>
      </c>
      <c r="F312" s="81" t="s">
        <v>33</v>
      </c>
      <c r="G312" s="6" t="s">
        <v>20</v>
      </c>
      <c r="H312" s="232">
        <v>202518840358</v>
      </c>
      <c r="I312" s="326">
        <v>660</v>
      </c>
      <c r="J312" s="4" t="s">
        <v>1618</v>
      </c>
      <c r="K312" s="81"/>
      <c r="L312" s="84">
        <v>45879</v>
      </c>
      <c r="M312" s="81"/>
      <c r="N312" s="81"/>
      <c r="O312" s="22" t="s">
        <v>133</v>
      </c>
      <c r="P312" s="81" t="s">
        <v>54</v>
      </c>
      <c r="Q312" s="251"/>
    </row>
    <row r="313" spans="1:17" ht="15" customHeight="1" x14ac:dyDescent="0.25">
      <c r="A313" s="6">
        <v>2025</v>
      </c>
      <c r="B313" s="81">
        <v>201</v>
      </c>
      <c r="C313" s="81" t="s">
        <v>727</v>
      </c>
      <c r="D313" s="81" t="s">
        <v>728</v>
      </c>
      <c r="E313" s="81" t="s">
        <v>42</v>
      </c>
      <c r="F313" s="81" t="s">
        <v>33</v>
      </c>
      <c r="G313" s="81" t="s">
        <v>629</v>
      </c>
      <c r="H313" s="85"/>
      <c r="I313" s="326">
        <v>935</v>
      </c>
      <c r="J313" s="4" t="s">
        <v>1611</v>
      </c>
      <c r="K313" s="81"/>
      <c r="L313" s="84">
        <v>45879</v>
      </c>
      <c r="M313" s="81"/>
      <c r="N313" s="81"/>
      <c r="O313" s="22" t="s">
        <v>133</v>
      </c>
      <c r="P313" s="81" t="s">
        <v>54</v>
      </c>
      <c r="Q313" s="251"/>
    </row>
    <row r="314" spans="1:17" ht="16.5" customHeight="1" x14ac:dyDescent="0.3">
      <c r="A314" s="6">
        <v>2025</v>
      </c>
      <c r="B314" s="81">
        <v>202</v>
      </c>
      <c r="C314" s="81" t="s">
        <v>729</v>
      </c>
      <c r="D314" s="81" t="s">
        <v>730</v>
      </c>
      <c r="E314" s="256" t="s">
        <v>731</v>
      </c>
      <c r="F314" s="81" t="s">
        <v>147</v>
      </c>
      <c r="G314" s="81" t="s">
        <v>429</v>
      </c>
      <c r="H314" s="232">
        <v>202518845159</v>
      </c>
      <c r="I314" s="326">
        <v>1020.8</v>
      </c>
      <c r="J314" s="4" t="s">
        <v>1618</v>
      </c>
      <c r="K314" s="81"/>
      <c r="L314" s="84">
        <v>45882</v>
      </c>
      <c r="M314" s="234">
        <v>45886</v>
      </c>
      <c r="N314" s="81"/>
      <c r="O314" s="22" t="s">
        <v>133</v>
      </c>
      <c r="P314" s="81" t="s">
        <v>54</v>
      </c>
      <c r="Q314" s="81"/>
    </row>
    <row r="315" spans="1:17" ht="16.5" customHeight="1" x14ac:dyDescent="0.3">
      <c r="A315" s="6">
        <v>2025</v>
      </c>
      <c r="B315" s="81">
        <v>203</v>
      </c>
      <c r="C315" s="81" t="s">
        <v>732</v>
      </c>
      <c r="D315" s="81" t="s">
        <v>733</v>
      </c>
      <c r="E315" s="277" t="s">
        <v>734</v>
      </c>
      <c r="F315" s="81" t="s">
        <v>218</v>
      </c>
      <c r="G315" s="81" t="s">
        <v>296</v>
      </c>
      <c r="H315" s="232">
        <v>202518845738</v>
      </c>
      <c r="I315" s="326">
        <v>228.8</v>
      </c>
      <c r="J315" s="4" t="s">
        <v>1618</v>
      </c>
      <c r="K315" s="81"/>
      <c r="L315" s="84">
        <v>45882</v>
      </c>
      <c r="M315" s="234">
        <v>45893</v>
      </c>
      <c r="N315" s="81"/>
      <c r="O315" s="81" t="s">
        <v>371</v>
      </c>
      <c r="P315" s="81" t="s">
        <v>54</v>
      </c>
      <c r="Q315" s="81"/>
    </row>
    <row r="316" spans="1:17" ht="15" customHeight="1" x14ac:dyDescent="0.25">
      <c r="A316" s="6">
        <v>2025</v>
      </c>
      <c r="B316" s="81">
        <v>204</v>
      </c>
      <c r="C316" s="81" t="s">
        <v>735</v>
      </c>
      <c r="D316" s="81" t="s">
        <v>736</v>
      </c>
      <c r="E316" s="81" t="s">
        <v>737</v>
      </c>
      <c r="F316" s="81" t="s">
        <v>147</v>
      </c>
      <c r="G316" s="6" t="s">
        <v>1506</v>
      </c>
      <c r="H316" s="81"/>
      <c r="I316" s="326">
        <v>300</v>
      </c>
      <c r="J316" s="4" t="s">
        <v>1615</v>
      </c>
      <c r="K316" s="81"/>
      <c r="L316" s="84">
        <v>45882</v>
      </c>
      <c r="M316" s="81"/>
      <c r="N316" s="81"/>
      <c r="O316" s="22" t="s">
        <v>133</v>
      </c>
      <c r="P316" s="81" t="s">
        <v>54</v>
      </c>
      <c r="Q316" s="251"/>
    </row>
    <row r="317" spans="1:17" ht="16.5" customHeight="1" x14ac:dyDescent="0.3">
      <c r="A317" s="6">
        <v>2025</v>
      </c>
      <c r="B317" s="81">
        <v>205</v>
      </c>
      <c r="C317" s="81" t="s">
        <v>738</v>
      </c>
      <c r="D317" s="81" t="s">
        <v>739</v>
      </c>
      <c r="E317" s="256" t="s">
        <v>740</v>
      </c>
      <c r="F317" s="81" t="s">
        <v>33</v>
      </c>
      <c r="G317" s="81" t="s">
        <v>629</v>
      </c>
      <c r="H317" s="232">
        <v>202518850240</v>
      </c>
      <c r="I317" s="326">
        <v>5674.9</v>
      </c>
      <c r="J317" s="4" t="s">
        <v>1611</v>
      </c>
      <c r="K317" s="81"/>
      <c r="L317" s="84">
        <v>45883</v>
      </c>
      <c r="M317" s="81"/>
      <c r="N317" s="81"/>
      <c r="O317" s="81" t="s">
        <v>508</v>
      </c>
      <c r="P317" s="81" t="s">
        <v>54</v>
      </c>
      <c r="Q317" s="251"/>
    </row>
    <row r="318" spans="1:17" x14ac:dyDescent="0.25">
      <c r="A318" s="11">
        <v>2025</v>
      </c>
      <c r="B318" s="81">
        <v>206</v>
      </c>
      <c r="C318" s="81" t="s">
        <v>741</v>
      </c>
      <c r="D318" s="81" t="s">
        <v>742</v>
      </c>
      <c r="E318" s="81" t="s">
        <v>743</v>
      </c>
      <c r="F318" s="81" t="s">
        <v>744</v>
      </c>
      <c r="G318" s="6" t="s">
        <v>20</v>
      </c>
      <c r="H318" s="269" t="s">
        <v>745</v>
      </c>
      <c r="I318" s="326"/>
      <c r="J318" s="4" t="s">
        <v>1611</v>
      </c>
      <c r="K318" s="81"/>
      <c r="L318" s="84"/>
      <c r="M318" s="81"/>
      <c r="N318" s="81"/>
      <c r="O318" s="81"/>
      <c r="P318" s="81"/>
      <c r="Q318" s="251" t="s">
        <v>1590</v>
      </c>
    </row>
    <row r="319" spans="1:17" x14ac:dyDescent="0.25">
      <c r="A319" s="11">
        <v>2025</v>
      </c>
      <c r="B319" s="81">
        <v>207</v>
      </c>
      <c r="C319" s="81" t="s">
        <v>746</v>
      </c>
      <c r="D319" s="81" t="s">
        <v>747</v>
      </c>
      <c r="E319" s="81"/>
      <c r="F319" s="81"/>
      <c r="G319" s="81"/>
      <c r="H319" s="85"/>
      <c r="I319" s="326"/>
      <c r="J319" s="4" t="s">
        <v>1611</v>
      </c>
      <c r="K319" s="81"/>
      <c r="L319" s="84"/>
      <c r="M319" s="81"/>
      <c r="N319" s="81"/>
      <c r="O319" s="81"/>
      <c r="P319" s="81"/>
      <c r="Q319" s="251" t="s">
        <v>1587</v>
      </c>
    </row>
    <row r="320" spans="1:17" x14ac:dyDescent="0.25">
      <c r="A320" s="6">
        <v>2025</v>
      </c>
      <c r="B320" s="81">
        <v>208</v>
      </c>
      <c r="C320" s="81" t="s">
        <v>748</v>
      </c>
      <c r="D320" s="81" t="s">
        <v>749</v>
      </c>
      <c r="E320" s="81" t="s">
        <v>750</v>
      </c>
      <c r="F320" s="81" t="s">
        <v>132</v>
      </c>
      <c r="G320" s="81"/>
      <c r="H320" s="232">
        <v>202518860232</v>
      </c>
      <c r="I320" s="326">
        <v>296</v>
      </c>
      <c r="J320" s="4" t="s">
        <v>1618</v>
      </c>
      <c r="K320" s="81"/>
      <c r="L320" s="84">
        <v>45918</v>
      </c>
      <c r="M320" s="81" t="s">
        <v>1255</v>
      </c>
      <c r="N320" s="81"/>
      <c r="O320" s="22" t="s">
        <v>133</v>
      </c>
      <c r="P320" s="81" t="s">
        <v>54</v>
      </c>
      <c r="Q320" s="81"/>
    </row>
    <row r="321" spans="1:18" x14ac:dyDescent="0.25">
      <c r="A321" s="11">
        <v>2025</v>
      </c>
      <c r="B321" s="81">
        <v>209</v>
      </c>
      <c r="C321" s="81" t="s">
        <v>751</v>
      </c>
      <c r="D321" s="81" t="s">
        <v>752</v>
      </c>
      <c r="E321" s="81" t="s">
        <v>753</v>
      </c>
      <c r="F321" s="81" t="s">
        <v>33</v>
      </c>
      <c r="G321" s="6" t="s">
        <v>20</v>
      </c>
      <c r="H321" s="269" t="s">
        <v>754</v>
      </c>
      <c r="I321" s="326"/>
      <c r="J321" s="4" t="s">
        <v>1611</v>
      </c>
      <c r="K321" s="81"/>
      <c r="L321" s="84"/>
      <c r="M321" s="81"/>
      <c r="N321" s="81"/>
      <c r="O321" s="81"/>
      <c r="P321" s="81"/>
      <c r="Q321" s="251" t="s">
        <v>1591</v>
      </c>
    </row>
    <row r="322" spans="1:18" x14ac:dyDescent="0.25">
      <c r="A322" s="11">
        <v>2025</v>
      </c>
      <c r="B322" s="81">
        <v>210</v>
      </c>
      <c r="C322" s="81" t="s">
        <v>755</v>
      </c>
      <c r="D322" s="81" t="s">
        <v>756</v>
      </c>
      <c r="E322" s="266" t="s">
        <v>757</v>
      </c>
      <c r="F322" s="81" t="s">
        <v>758</v>
      </c>
      <c r="G322" s="6" t="s">
        <v>20</v>
      </c>
      <c r="H322" s="232" t="s">
        <v>759</v>
      </c>
      <c r="I322" s="326"/>
      <c r="J322" s="4" t="s">
        <v>1611</v>
      </c>
      <c r="K322" s="81"/>
      <c r="L322" s="84">
        <v>45892</v>
      </c>
      <c r="M322" s="81"/>
      <c r="N322" s="81"/>
      <c r="O322" s="81"/>
      <c r="P322" s="81"/>
      <c r="Q322" s="251" t="s">
        <v>1592</v>
      </c>
    </row>
    <row r="323" spans="1:18" s="343" customFormat="1" x14ac:dyDescent="0.25">
      <c r="A323" s="8">
        <v>2025</v>
      </c>
      <c r="B323" s="83">
        <v>211</v>
      </c>
      <c r="C323" s="83" t="s">
        <v>760</v>
      </c>
      <c r="D323" s="83" t="s">
        <v>761</v>
      </c>
      <c r="E323" s="83" t="s">
        <v>762</v>
      </c>
      <c r="F323" s="83" t="s">
        <v>153</v>
      </c>
      <c r="G323" s="8" t="s">
        <v>20</v>
      </c>
      <c r="H323" s="365">
        <v>202518868621</v>
      </c>
      <c r="I323" s="358"/>
      <c r="J323" s="4" t="s">
        <v>1618</v>
      </c>
      <c r="K323" s="83"/>
      <c r="L323" s="359">
        <v>45889</v>
      </c>
      <c r="M323" s="83"/>
      <c r="N323" s="83"/>
      <c r="O323" s="360" t="s">
        <v>133</v>
      </c>
      <c r="P323" s="83" t="s">
        <v>238</v>
      </c>
      <c r="Q323" s="342"/>
    </row>
    <row r="324" spans="1:18" x14ac:dyDescent="0.25">
      <c r="A324" s="11">
        <v>2025</v>
      </c>
      <c r="B324" s="81">
        <v>212</v>
      </c>
      <c r="C324" s="81" t="s">
        <v>763</v>
      </c>
      <c r="D324" s="81" t="s">
        <v>764</v>
      </c>
      <c r="E324" s="81" t="s">
        <v>765</v>
      </c>
      <c r="F324" s="81" t="s">
        <v>262</v>
      </c>
      <c r="G324" s="6" t="s">
        <v>20</v>
      </c>
      <c r="H324" s="232">
        <v>202518868861</v>
      </c>
      <c r="I324" s="326"/>
      <c r="J324" s="4" t="s">
        <v>1611</v>
      </c>
      <c r="K324" s="81"/>
      <c r="L324" s="84">
        <v>45889</v>
      </c>
      <c r="M324" s="81"/>
      <c r="N324" s="81"/>
      <c r="O324" s="81"/>
      <c r="P324" s="81"/>
      <c r="Q324" s="251" t="s">
        <v>1593</v>
      </c>
    </row>
    <row r="325" spans="1:18" ht="15" customHeight="1" x14ac:dyDescent="0.25">
      <c r="A325" s="6">
        <v>2025</v>
      </c>
      <c r="B325" s="81">
        <v>213</v>
      </c>
      <c r="C325" s="81" t="s">
        <v>766</v>
      </c>
      <c r="D325" s="81" t="s">
        <v>767</v>
      </c>
      <c r="E325" s="81" t="s">
        <v>768</v>
      </c>
      <c r="F325" s="81" t="s">
        <v>101</v>
      </c>
      <c r="G325" s="81" t="s">
        <v>629</v>
      </c>
      <c r="H325" s="274">
        <v>202518890598</v>
      </c>
      <c r="I325" s="326">
        <v>605</v>
      </c>
      <c r="J325" s="4" t="s">
        <v>1611</v>
      </c>
      <c r="K325" s="81"/>
      <c r="L325" s="84">
        <v>45899</v>
      </c>
      <c r="M325" s="81"/>
      <c r="N325" s="81"/>
      <c r="O325" s="275" t="s">
        <v>102</v>
      </c>
      <c r="P325" s="81" t="s">
        <v>54</v>
      </c>
      <c r="Q325" s="251"/>
    </row>
    <row r="326" spans="1:18" ht="16.5" customHeight="1" x14ac:dyDescent="0.3">
      <c r="A326" s="11">
        <v>2025</v>
      </c>
      <c r="B326" s="81">
        <v>214</v>
      </c>
      <c r="C326" s="81" t="s">
        <v>769</v>
      </c>
      <c r="D326" s="81" t="s">
        <v>770</v>
      </c>
      <c r="E326" s="256" t="s">
        <v>771</v>
      </c>
      <c r="F326" s="81" t="s">
        <v>101</v>
      </c>
      <c r="G326" s="6" t="s">
        <v>1508</v>
      </c>
      <c r="H326" s="274">
        <v>202518880290</v>
      </c>
      <c r="I326" s="326">
        <v>22272.799999999999</v>
      </c>
      <c r="J326" s="4" t="s">
        <v>1611</v>
      </c>
      <c r="K326" s="81"/>
      <c r="L326" s="84">
        <v>45893</v>
      </c>
      <c r="M326" s="81"/>
      <c r="N326" s="81"/>
      <c r="O326" s="275" t="s">
        <v>102</v>
      </c>
      <c r="P326" s="81" t="s">
        <v>54</v>
      </c>
      <c r="Q326" s="251"/>
    </row>
    <row r="327" spans="1:18" s="343" customFormat="1" ht="15" customHeight="1" x14ac:dyDescent="0.3">
      <c r="A327" s="11">
        <v>2025</v>
      </c>
      <c r="B327" s="81">
        <v>216</v>
      </c>
      <c r="C327" s="81" t="s">
        <v>772</v>
      </c>
      <c r="D327" s="81" t="s">
        <v>773</v>
      </c>
      <c r="E327" s="256" t="s">
        <v>774</v>
      </c>
      <c r="F327" s="81" t="s">
        <v>101</v>
      </c>
      <c r="G327" s="81" t="s">
        <v>629</v>
      </c>
      <c r="H327" s="448">
        <v>202518890697</v>
      </c>
      <c r="I327" s="326">
        <v>1614.8</v>
      </c>
      <c r="J327" s="4" t="s">
        <v>1611</v>
      </c>
      <c r="K327" s="81"/>
      <c r="L327" s="84">
        <v>45915</v>
      </c>
      <c r="M327" s="81"/>
      <c r="N327" s="81"/>
      <c r="O327" s="275" t="s">
        <v>102</v>
      </c>
      <c r="P327" s="81" t="s">
        <v>54</v>
      </c>
      <c r="Q327" s="251"/>
      <c r="R327" s="82"/>
    </row>
    <row r="328" spans="1:18" x14ac:dyDescent="0.25">
      <c r="A328" s="11">
        <v>2025</v>
      </c>
      <c r="B328" s="81">
        <v>217</v>
      </c>
      <c r="C328" s="81" t="s">
        <v>775</v>
      </c>
      <c r="D328" s="81" t="s">
        <v>776</v>
      </c>
      <c r="E328" s="81"/>
      <c r="F328" s="81"/>
      <c r="G328" s="81"/>
      <c r="H328" s="85"/>
      <c r="I328" s="326"/>
      <c r="J328" s="4" t="s">
        <v>1611</v>
      </c>
      <c r="K328" s="81"/>
      <c r="L328" s="84"/>
      <c r="M328" s="81"/>
      <c r="N328" s="81"/>
      <c r="O328" s="81"/>
      <c r="P328" s="81"/>
      <c r="Q328" s="251" t="s">
        <v>1595</v>
      </c>
    </row>
    <row r="329" spans="1:18" ht="15" customHeight="1" x14ac:dyDescent="0.25">
      <c r="A329" s="11">
        <v>2025</v>
      </c>
      <c r="B329" s="81">
        <v>218</v>
      </c>
      <c r="C329" s="81" t="s">
        <v>1233</v>
      </c>
      <c r="D329" s="81" t="s">
        <v>1251</v>
      </c>
      <c r="E329" s="81" t="s">
        <v>1252</v>
      </c>
      <c r="F329" s="81" t="s">
        <v>197</v>
      </c>
      <c r="G329" s="81" t="s">
        <v>629</v>
      </c>
      <c r="H329" s="274">
        <v>202518904117</v>
      </c>
      <c r="I329" s="326">
        <v>968</v>
      </c>
      <c r="J329" s="4" t="s">
        <v>1611</v>
      </c>
      <c r="K329" s="81"/>
      <c r="L329" s="84">
        <v>45918</v>
      </c>
      <c r="M329" s="81"/>
      <c r="N329" s="81"/>
      <c r="O329" s="22" t="s">
        <v>133</v>
      </c>
      <c r="P329" s="81" t="s">
        <v>54</v>
      </c>
      <c r="Q329" s="251"/>
    </row>
    <row r="330" spans="1:18" ht="16.5" customHeight="1" x14ac:dyDescent="0.25">
      <c r="A330" s="6">
        <v>2025</v>
      </c>
      <c r="B330" s="81">
        <v>219</v>
      </c>
      <c r="C330" s="81" t="s">
        <v>1234</v>
      </c>
      <c r="D330" s="81" t="s">
        <v>1330</v>
      </c>
      <c r="E330" s="433"/>
      <c r="F330" s="81"/>
      <c r="G330" s="81" t="s">
        <v>1331</v>
      </c>
      <c r="H330" s="85"/>
      <c r="I330" s="326"/>
      <c r="J330" s="4" t="s">
        <v>1622</v>
      </c>
      <c r="K330" s="81" t="s">
        <v>106</v>
      </c>
      <c r="L330" s="84"/>
      <c r="M330" s="81"/>
      <c r="N330" s="81"/>
      <c r="O330" s="81"/>
      <c r="P330" s="81" t="s">
        <v>621</v>
      </c>
      <c r="Q330" s="251"/>
    </row>
    <row r="331" spans="1:18" ht="16.5" customHeight="1" x14ac:dyDescent="0.3">
      <c r="A331" s="11">
        <v>2025</v>
      </c>
      <c r="B331" s="81">
        <v>220</v>
      </c>
      <c r="C331" s="81" t="s">
        <v>1235</v>
      </c>
      <c r="D331" s="81" t="s">
        <v>1256</v>
      </c>
      <c r="E331" s="450" t="s">
        <v>1258</v>
      </c>
      <c r="F331" s="81" t="s">
        <v>52</v>
      </c>
      <c r="G331" s="81" t="s">
        <v>1257</v>
      </c>
      <c r="H331" s="274">
        <v>202518901508</v>
      </c>
      <c r="I331" s="326"/>
      <c r="J331" s="4" t="s">
        <v>1622</v>
      </c>
      <c r="K331" s="81" t="s">
        <v>285</v>
      </c>
      <c r="L331" s="84"/>
      <c r="M331" s="81"/>
      <c r="N331" s="81"/>
      <c r="O331" s="81"/>
      <c r="P331" s="81" t="s">
        <v>54</v>
      </c>
      <c r="Q331" s="251"/>
    </row>
    <row r="332" spans="1:18" ht="16.5" customHeight="1" x14ac:dyDescent="0.25">
      <c r="A332" s="11">
        <v>2025</v>
      </c>
      <c r="B332" s="81">
        <v>221</v>
      </c>
      <c r="C332" s="81" t="s">
        <v>1236</v>
      </c>
      <c r="D332" s="81" t="s">
        <v>1329</v>
      </c>
      <c r="E332" s="433" t="s">
        <v>1329</v>
      </c>
      <c r="F332" s="81"/>
      <c r="G332" s="6" t="s">
        <v>20</v>
      </c>
      <c r="H332" s="274">
        <v>202518901605</v>
      </c>
      <c r="I332" s="326">
        <v>1505</v>
      </c>
      <c r="J332" s="4" t="s">
        <v>1611</v>
      </c>
      <c r="K332" s="81"/>
      <c r="L332" s="84"/>
      <c r="M332" s="81"/>
      <c r="N332" s="81"/>
      <c r="O332" s="81"/>
      <c r="P332" s="81" t="s">
        <v>621</v>
      </c>
      <c r="Q332" s="251"/>
    </row>
    <row r="333" spans="1:18" ht="15" customHeight="1" x14ac:dyDescent="0.3">
      <c r="A333" s="11">
        <v>2025</v>
      </c>
      <c r="B333" s="81">
        <v>222</v>
      </c>
      <c r="C333" s="81" t="s">
        <v>1237</v>
      </c>
      <c r="D333" s="81" t="s">
        <v>1259</v>
      </c>
      <c r="E333" s="256" t="s">
        <v>1260</v>
      </c>
      <c r="F333" s="81"/>
      <c r="G333" s="6" t="s">
        <v>20</v>
      </c>
      <c r="H333" s="85"/>
      <c r="I333" s="326"/>
      <c r="J333" s="4" t="s">
        <v>1611</v>
      </c>
      <c r="K333" s="81"/>
      <c r="L333" s="84"/>
      <c r="M333" s="81"/>
      <c r="N333" s="81"/>
      <c r="O333" s="81"/>
      <c r="P333" s="81"/>
      <c r="Q333" s="251" t="s">
        <v>1592</v>
      </c>
    </row>
    <row r="334" spans="1:18" ht="15" customHeight="1" x14ac:dyDescent="0.3">
      <c r="A334" s="11">
        <v>2025</v>
      </c>
      <c r="B334" s="81">
        <v>223</v>
      </c>
      <c r="C334" s="81" t="s">
        <v>1238</v>
      </c>
      <c r="D334" s="433" t="s">
        <v>1262</v>
      </c>
      <c r="E334" s="256" t="s">
        <v>1261</v>
      </c>
      <c r="F334" s="81" t="s">
        <v>218</v>
      </c>
      <c r="G334" s="81" t="s">
        <v>1509</v>
      </c>
      <c r="H334" s="274">
        <v>202518922858</v>
      </c>
      <c r="I334" s="326"/>
      <c r="J334" s="4" t="s">
        <v>1611</v>
      </c>
      <c r="K334" s="81"/>
      <c r="L334" s="84"/>
      <c r="M334" s="81"/>
      <c r="N334" s="81"/>
      <c r="O334" s="81"/>
      <c r="P334" s="81" t="s">
        <v>54</v>
      </c>
      <c r="Q334" s="251"/>
    </row>
    <row r="335" spans="1:18" ht="15" customHeight="1" x14ac:dyDescent="0.25">
      <c r="A335" s="8">
        <v>2025</v>
      </c>
      <c r="B335" s="83">
        <v>224</v>
      </c>
      <c r="C335" s="83" t="s">
        <v>1240</v>
      </c>
      <c r="D335" s="83" t="s">
        <v>1269</v>
      </c>
      <c r="E335" s="83" t="s">
        <v>1308</v>
      </c>
      <c r="F335" s="83" t="s">
        <v>208</v>
      </c>
      <c r="G335" s="8" t="s">
        <v>20</v>
      </c>
      <c r="H335" s="367">
        <v>2005184299</v>
      </c>
      <c r="I335" s="358">
        <v>11176</v>
      </c>
      <c r="J335" s="4" t="s">
        <v>1622</v>
      </c>
      <c r="K335" s="83" t="s">
        <v>798</v>
      </c>
      <c r="L335" s="359" t="s">
        <v>1314</v>
      </c>
      <c r="M335" s="83"/>
      <c r="N335" s="83"/>
      <c r="O335" s="363" t="s">
        <v>133</v>
      </c>
      <c r="P335" s="83" t="s">
        <v>238</v>
      </c>
      <c r="Q335" s="342"/>
      <c r="R335" s="343"/>
    </row>
    <row r="336" spans="1:18" ht="15" customHeight="1" x14ac:dyDescent="0.25">
      <c r="A336" s="11">
        <v>2025</v>
      </c>
      <c r="B336" s="81">
        <v>225</v>
      </c>
      <c r="C336" s="81" t="s">
        <v>1241</v>
      </c>
      <c r="D336" s="81" t="s">
        <v>1328</v>
      </c>
      <c r="E336" s="81" t="s">
        <v>1328</v>
      </c>
      <c r="F336" s="81" t="s">
        <v>758</v>
      </c>
      <c r="G336" s="81" t="s">
        <v>527</v>
      </c>
      <c r="H336" s="274">
        <v>202518909439</v>
      </c>
      <c r="I336" s="326">
        <v>3080</v>
      </c>
      <c r="J336" s="4" t="s">
        <v>1618</v>
      </c>
      <c r="K336" s="81"/>
      <c r="L336" s="84"/>
      <c r="M336" s="81"/>
      <c r="N336" s="81"/>
      <c r="O336" s="81"/>
      <c r="P336" s="81" t="s">
        <v>621</v>
      </c>
      <c r="Q336" s="251"/>
    </row>
    <row r="337" spans="1:18" s="343" customFormat="1" ht="15" customHeight="1" x14ac:dyDescent="0.3">
      <c r="A337" s="11">
        <v>2025</v>
      </c>
      <c r="B337" s="81">
        <v>226</v>
      </c>
      <c r="C337" s="81" t="s">
        <v>1242</v>
      </c>
      <c r="D337" s="81" t="s">
        <v>1327</v>
      </c>
      <c r="E337" s="389" t="s">
        <v>1327</v>
      </c>
      <c r="F337" s="81" t="s">
        <v>366</v>
      </c>
      <c r="G337" s="6" t="s">
        <v>20</v>
      </c>
      <c r="H337" s="85">
        <v>20251892289</v>
      </c>
      <c r="I337" s="326">
        <v>1950</v>
      </c>
      <c r="J337" s="4" t="s">
        <v>1618</v>
      </c>
      <c r="K337" s="81"/>
      <c r="L337" s="84"/>
      <c r="M337" s="81"/>
      <c r="N337" s="81"/>
      <c r="O337" s="81"/>
      <c r="P337" s="81" t="s">
        <v>621</v>
      </c>
      <c r="Q337" s="251"/>
      <c r="R337" s="82"/>
    </row>
    <row r="338" spans="1:18" s="288" customFormat="1" x14ac:dyDescent="0.25">
      <c r="A338" s="8">
        <v>2025</v>
      </c>
      <c r="B338" s="83">
        <v>227</v>
      </c>
      <c r="C338" s="83" t="s">
        <v>1243</v>
      </c>
      <c r="D338" s="83" t="s">
        <v>1254</v>
      </c>
      <c r="E338" s="83" t="s">
        <v>1311</v>
      </c>
      <c r="F338" s="83" t="s">
        <v>153</v>
      </c>
      <c r="G338" s="8" t="s">
        <v>20</v>
      </c>
      <c r="H338" s="357">
        <v>2005185002</v>
      </c>
      <c r="I338" s="358">
        <v>4620</v>
      </c>
      <c r="J338" s="4" t="s">
        <v>1611</v>
      </c>
      <c r="K338" s="83"/>
      <c r="L338" s="359">
        <v>45916</v>
      </c>
      <c r="M338" s="83"/>
      <c r="N338" s="83"/>
      <c r="O338" s="363"/>
      <c r="P338" s="83" t="s">
        <v>238</v>
      </c>
      <c r="Q338" s="445"/>
      <c r="R338" s="343"/>
    </row>
    <row r="339" spans="1:18" ht="16.5" customHeight="1" x14ac:dyDescent="0.3">
      <c r="A339" s="6">
        <v>2025</v>
      </c>
      <c r="B339" s="81">
        <v>228</v>
      </c>
      <c r="C339" s="81" t="s">
        <v>1244</v>
      </c>
      <c r="D339" s="81" t="s">
        <v>1264</v>
      </c>
      <c r="E339" s="450" t="s">
        <v>1263</v>
      </c>
      <c r="F339" s="81" t="s">
        <v>19</v>
      </c>
      <c r="G339" s="6" t="s">
        <v>20</v>
      </c>
      <c r="H339" s="274">
        <v>202518932434</v>
      </c>
      <c r="I339" s="326">
        <v>935</v>
      </c>
      <c r="J339" s="4" t="s">
        <v>1611</v>
      </c>
      <c r="K339" s="81"/>
      <c r="L339" s="84">
        <v>45911</v>
      </c>
      <c r="M339" s="81"/>
      <c r="N339" s="81"/>
      <c r="O339" s="81"/>
      <c r="P339" s="81" t="s">
        <v>54</v>
      </c>
      <c r="Q339" s="251"/>
    </row>
    <row r="340" spans="1:18" x14ac:dyDescent="0.25">
      <c r="A340" s="6">
        <v>2025</v>
      </c>
      <c r="B340" s="81">
        <v>229</v>
      </c>
      <c r="C340" s="81" t="s">
        <v>1245</v>
      </c>
      <c r="D340" s="81" t="s">
        <v>1265</v>
      </c>
      <c r="E340" s="81" t="s">
        <v>1266</v>
      </c>
      <c r="F340" s="81" t="s">
        <v>101</v>
      </c>
      <c r="G340" s="81" t="s">
        <v>1257</v>
      </c>
      <c r="H340" s="437">
        <v>202518937291</v>
      </c>
      <c r="I340" s="326"/>
      <c r="J340" s="4" t="s">
        <v>1622</v>
      </c>
      <c r="K340" s="81" t="s">
        <v>106</v>
      </c>
      <c r="L340" s="84"/>
      <c r="M340" s="81"/>
      <c r="N340" s="81"/>
      <c r="O340" s="81"/>
      <c r="P340" s="81" t="s">
        <v>54</v>
      </c>
      <c r="Q340" s="251"/>
    </row>
    <row r="341" spans="1:18" ht="15" customHeight="1" x14ac:dyDescent="0.3">
      <c r="A341" s="6">
        <v>2025</v>
      </c>
      <c r="B341" s="81">
        <v>230</v>
      </c>
      <c r="C341" s="81" t="s">
        <v>1246</v>
      </c>
      <c r="D341" s="81" t="s">
        <v>1267</v>
      </c>
      <c r="E341" s="256" t="s">
        <v>1268</v>
      </c>
      <c r="F341" s="81" t="s">
        <v>197</v>
      </c>
      <c r="G341" s="6" t="s">
        <v>20</v>
      </c>
      <c r="H341" s="274">
        <v>202518937923</v>
      </c>
      <c r="I341" s="326">
        <v>611.6</v>
      </c>
      <c r="J341" s="4" t="s">
        <v>1618</v>
      </c>
      <c r="K341" s="81"/>
      <c r="L341" s="84">
        <v>45911</v>
      </c>
      <c r="M341" s="81"/>
      <c r="N341" s="81"/>
      <c r="O341" s="22" t="s">
        <v>133</v>
      </c>
      <c r="P341" s="81" t="s">
        <v>54</v>
      </c>
      <c r="Q341" s="251"/>
    </row>
    <row r="342" spans="1:18" s="282" customFormat="1" x14ac:dyDescent="0.25">
      <c r="A342" s="6">
        <v>2025</v>
      </c>
      <c r="B342" s="81">
        <v>231</v>
      </c>
      <c r="C342" s="81" t="s">
        <v>1247</v>
      </c>
      <c r="D342" s="81" t="s">
        <v>1326</v>
      </c>
      <c r="E342" s="81"/>
      <c r="F342" s="81"/>
      <c r="G342" s="81" t="s">
        <v>665</v>
      </c>
      <c r="H342" s="441"/>
      <c r="I342" s="326">
        <v>14162</v>
      </c>
      <c r="J342" s="4" t="s">
        <v>1611</v>
      </c>
      <c r="K342" s="81"/>
      <c r="L342" s="84"/>
      <c r="M342" s="81"/>
      <c r="N342" s="81"/>
      <c r="O342" s="81"/>
      <c r="P342" s="81" t="s">
        <v>621</v>
      </c>
      <c r="Q342" s="251"/>
      <c r="R342" s="82"/>
    </row>
    <row r="343" spans="1:18" ht="15" customHeight="1" x14ac:dyDescent="0.25">
      <c r="A343" s="11">
        <v>2025</v>
      </c>
      <c r="B343" s="213">
        <v>232</v>
      </c>
      <c r="C343" s="213" t="s">
        <v>1248</v>
      </c>
      <c r="D343" s="213" t="s">
        <v>1270</v>
      </c>
      <c r="E343" s="213" t="s">
        <v>1315</v>
      </c>
      <c r="F343" s="213" t="s">
        <v>33</v>
      </c>
      <c r="G343" s="6" t="s">
        <v>20</v>
      </c>
      <c r="H343" s="455"/>
      <c r="I343" s="332">
        <v>18895</v>
      </c>
      <c r="J343" s="4" t="s">
        <v>1611</v>
      </c>
      <c r="K343" s="213"/>
      <c r="L343" s="289"/>
      <c r="M343" s="213"/>
      <c r="N343" s="213"/>
      <c r="O343" s="213"/>
      <c r="P343" s="213" t="s">
        <v>621</v>
      </c>
      <c r="Q343" s="251"/>
      <c r="R343" s="238"/>
    </row>
    <row r="344" spans="1:18" ht="15" customHeight="1" x14ac:dyDescent="0.25">
      <c r="A344" s="6">
        <v>2025</v>
      </c>
      <c r="B344" s="81">
        <v>233</v>
      </c>
      <c r="C344" s="81" t="s">
        <v>1249</v>
      </c>
      <c r="D344" s="81"/>
      <c r="E344" s="81"/>
      <c r="F344" s="81"/>
      <c r="G344" s="81"/>
      <c r="H344" s="440"/>
      <c r="I344" s="326"/>
      <c r="J344" s="4" t="s">
        <v>1611</v>
      </c>
      <c r="K344" s="81"/>
      <c r="L344" s="84"/>
      <c r="M344" s="81"/>
      <c r="N344" s="81"/>
      <c r="O344" s="81"/>
      <c r="P344" s="81"/>
      <c r="Q344" s="251" t="s">
        <v>1583</v>
      </c>
    </row>
    <row r="345" spans="1:18" ht="14.45" customHeight="1" x14ac:dyDescent="0.3">
      <c r="A345" s="6">
        <v>2025</v>
      </c>
      <c r="B345" s="81">
        <v>234</v>
      </c>
      <c r="C345" s="81" t="s">
        <v>1250</v>
      </c>
      <c r="D345" s="81" t="s">
        <v>1276</v>
      </c>
      <c r="E345" s="256" t="s">
        <v>1275</v>
      </c>
      <c r="F345" s="81" t="s">
        <v>85</v>
      </c>
      <c r="G345" s="81" t="s">
        <v>296</v>
      </c>
      <c r="H345" s="446">
        <v>202518951325</v>
      </c>
      <c r="I345" s="326">
        <v>163262</v>
      </c>
      <c r="J345" s="4" t="s">
        <v>1622</v>
      </c>
      <c r="K345" s="81" t="s">
        <v>119</v>
      </c>
      <c r="L345" s="84">
        <v>45932</v>
      </c>
      <c r="M345" s="81"/>
      <c r="N345" s="81"/>
      <c r="O345" s="81"/>
      <c r="P345" s="81" t="s">
        <v>54</v>
      </c>
      <c r="Q345" s="251"/>
    </row>
    <row r="346" spans="1:18" ht="15" customHeight="1" x14ac:dyDescent="0.25">
      <c r="A346" s="6">
        <v>2025</v>
      </c>
      <c r="B346" s="81">
        <v>235</v>
      </c>
      <c r="C346" s="81" t="s">
        <v>1277</v>
      </c>
      <c r="D346" s="81"/>
      <c r="E346" s="81"/>
      <c r="F346" s="81"/>
      <c r="G346" s="81"/>
      <c r="H346" s="85"/>
      <c r="I346" s="326"/>
      <c r="J346" s="4" t="s">
        <v>1611</v>
      </c>
      <c r="K346" s="81"/>
      <c r="L346" s="84"/>
      <c r="M346" s="81"/>
      <c r="N346" s="81"/>
      <c r="O346" s="81"/>
      <c r="P346" s="81"/>
      <c r="Q346" s="251" t="s">
        <v>1583</v>
      </c>
    </row>
    <row r="347" spans="1:18" ht="15" customHeight="1" x14ac:dyDescent="0.25">
      <c r="A347" s="6">
        <v>2025</v>
      </c>
      <c r="B347" s="81">
        <v>236</v>
      </c>
      <c r="C347" s="285" t="s">
        <v>1278</v>
      </c>
      <c r="D347" s="285" t="s">
        <v>1303</v>
      </c>
      <c r="E347" s="285" t="s">
        <v>1304</v>
      </c>
      <c r="F347" s="285" t="s">
        <v>202</v>
      </c>
      <c r="G347" s="6" t="s">
        <v>20</v>
      </c>
      <c r="H347" s="286">
        <v>2005186463</v>
      </c>
      <c r="I347" s="327">
        <v>198</v>
      </c>
      <c r="J347" s="4" t="s">
        <v>1618</v>
      </c>
      <c r="K347" s="285"/>
      <c r="L347" s="287">
        <v>45922</v>
      </c>
      <c r="M347" s="285"/>
      <c r="N347" s="285"/>
      <c r="O347" s="22" t="s">
        <v>133</v>
      </c>
      <c r="P347" s="285"/>
      <c r="Q347" s="251"/>
    </row>
    <row r="348" spans="1:18" ht="15" customHeight="1" x14ac:dyDescent="0.25">
      <c r="A348" s="242">
        <v>2025</v>
      </c>
      <c r="B348" s="285">
        <v>237</v>
      </c>
      <c r="C348" s="81" t="s">
        <v>1279</v>
      </c>
      <c r="D348" s="81"/>
      <c r="E348" s="81"/>
      <c r="F348" s="81"/>
      <c r="G348" s="81"/>
      <c r="H348" s="85"/>
      <c r="I348" s="326"/>
      <c r="J348" s="4" t="s">
        <v>1611</v>
      </c>
      <c r="K348" s="81"/>
      <c r="L348" s="84"/>
      <c r="M348" s="81"/>
      <c r="N348" s="81"/>
      <c r="O348" s="81"/>
      <c r="P348" s="81"/>
      <c r="Q348" s="251" t="s">
        <v>1583</v>
      </c>
      <c r="R348" s="288"/>
    </row>
    <row r="349" spans="1:18" ht="15" customHeight="1" x14ac:dyDescent="0.25">
      <c r="A349" s="6">
        <v>2025</v>
      </c>
      <c r="B349" s="81">
        <v>238</v>
      </c>
      <c r="C349" s="81" t="s">
        <v>1280</v>
      </c>
      <c r="D349" s="81" t="s">
        <v>1375</v>
      </c>
      <c r="E349" s="81"/>
      <c r="F349" s="81"/>
      <c r="G349" s="81" t="s">
        <v>20</v>
      </c>
      <c r="H349" s="269" t="s">
        <v>1567</v>
      </c>
      <c r="I349" s="326">
        <v>27648</v>
      </c>
      <c r="J349" s="4" t="s">
        <v>1611</v>
      </c>
      <c r="K349" s="81"/>
      <c r="L349" s="84"/>
      <c r="M349" s="81"/>
      <c r="N349" s="81"/>
      <c r="O349" s="81"/>
      <c r="P349" s="81" t="s">
        <v>621</v>
      </c>
      <c r="Q349" s="251"/>
    </row>
    <row r="350" spans="1:18" ht="15" customHeight="1" x14ac:dyDescent="0.3">
      <c r="A350" s="6">
        <v>2025</v>
      </c>
      <c r="B350" s="81">
        <v>239</v>
      </c>
      <c r="C350" s="81" t="s">
        <v>1281</v>
      </c>
      <c r="D350" s="81" t="s">
        <v>1282</v>
      </c>
      <c r="E350" s="256" t="s">
        <v>1283</v>
      </c>
      <c r="F350" s="81" t="s">
        <v>85</v>
      </c>
      <c r="G350" s="81" t="s">
        <v>1509</v>
      </c>
      <c r="H350" s="274">
        <v>202519000325</v>
      </c>
      <c r="I350" s="326">
        <v>175968</v>
      </c>
      <c r="J350" s="4" t="s">
        <v>1611</v>
      </c>
      <c r="K350" s="81"/>
      <c r="L350" s="84">
        <v>45931</v>
      </c>
      <c r="M350" s="81"/>
      <c r="N350" s="81"/>
      <c r="O350" s="81"/>
      <c r="P350" s="81" t="s">
        <v>54</v>
      </c>
      <c r="Q350" s="251"/>
    </row>
    <row r="351" spans="1:18" x14ac:dyDescent="0.25">
      <c r="A351" s="6">
        <v>2025</v>
      </c>
      <c r="B351" s="81">
        <v>240</v>
      </c>
      <c r="C351" s="281" t="s">
        <v>1271</v>
      </c>
      <c r="D351" s="281" t="s">
        <v>1272</v>
      </c>
      <c r="E351" s="281" t="s">
        <v>1309</v>
      </c>
      <c r="F351" s="281"/>
      <c r="G351" s="281" t="s">
        <v>1312</v>
      </c>
      <c r="H351" s="81">
        <v>202518967949</v>
      </c>
      <c r="I351" s="331">
        <v>3513</v>
      </c>
      <c r="J351" s="4" t="s">
        <v>1611</v>
      </c>
      <c r="K351" s="281"/>
      <c r="L351" s="284">
        <v>45922</v>
      </c>
      <c r="M351" s="281"/>
      <c r="N351" s="281"/>
      <c r="O351" s="22" t="s">
        <v>133</v>
      </c>
      <c r="P351" s="281" t="s">
        <v>238</v>
      </c>
      <c r="Q351" s="251"/>
    </row>
    <row r="352" spans="1:18" ht="15" customHeight="1" x14ac:dyDescent="0.25">
      <c r="A352" s="280">
        <v>2025</v>
      </c>
      <c r="B352" s="281">
        <v>241</v>
      </c>
      <c r="C352" s="281" t="s">
        <v>1273</v>
      </c>
      <c r="D352" s="281" t="s">
        <v>1274</v>
      </c>
      <c r="E352" s="281" t="s">
        <v>1310</v>
      </c>
      <c r="F352" s="281"/>
      <c r="G352" s="281" t="s">
        <v>1312</v>
      </c>
      <c r="H352" s="283">
        <v>2005186632</v>
      </c>
      <c r="I352" s="331">
        <v>26318.71</v>
      </c>
      <c r="J352" s="4" t="s">
        <v>1611</v>
      </c>
      <c r="K352" s="281"/>
      <c r="L352" s="284">
        <v>45923</v>
      </c>
      <c r="M352" s="281"/>
      <c r="N352" s="281"/>
      <c r="O352" s="22" t="s">
        <v>133</v>
      </c>
      <c r="P352" s="281" t="s">
        <v>238</v>
      </c>
      <c r="Q352" s="251"/>
      <c r="R352" s="282"/>
    </row>
    <row r="353" spans="1:18" x14ac:dyDescent="0.25">
      <c r="A353" s="280">
        <v>2025</v>
      </c>
      <c r="B353" s="281">
        <v>242</v>
      </c>
      <c r="C353" s="281" t="s">
        <v>1574</v>
      </c>
      <c r="D353" s="281"/>
      <c r="E353" s="281"/>
      <c r="F353" s="281"/>
      <c r="G353" s="281"/>
      <c r="H353" s="281"/>
      <c r="I353" s="331"/>
      <c r="J353" s="4" t="s">
        <v>1611</v>
      </c>
      <c r="K353" s="281"/>
      <c r="L353" s="281"/>
      <c r="M353" s="281"/>
      <c r="N353" s="281"/>
      <c r="O353" s="281"/>
      <c r="P353" s="281"/>
      <c r="Q353" s="251" t="s">
        <v>1583</v>
      </c>
      <c r="R353" s="282"/>
    </row>
    <row r="354" spans="1:18" ht="15" customHeight="1" x14ac:dyDescent="0.3">
      <c r="A354" s="6">
        <v>2025</v>
      </c>
      <c r="B354" s="81">
        <v>243</v>
      </c>
      <c r="C354" s="81" t="s">
        <v>1284</v>
      </c>
      <c r="D354" s="81" t="s">
        <v>1285</v>
      </c>
      <c r="E354" s="256" t="s">
        <v>1286</v>
      </c>
      <c r="F354" s="81" t="s">
        <v>101</v>
      </c>
      <c r="G354" s="81" t="s">
        <v>1287</v>
      </c>
      <c r="H354" s="274">
        <v>202518976702</v>
      </c>
      <c r="I354" s="326">
        <v>877.8</v>
      </c>
      <c r="J354" s="4" t="s">
        <v>1618</v>
      </c>
      <c r="K354" s="81"/>
      <c r="L354" s="84">
        <v>45956</v>
      </c>
      <c r="M354" s="81"/>
      <c r="N354" s="81"/>
      <c r="O354" s="81"/>
      <c r="P354" s="81" t="s">
        <v>54</v>
      </c>
      <c r="Q354" s="251"/>
    </row>
    <row r="355" spans="1:18" x14ac:dyDescent="0.25">
      <c r="A355" s="8">
        <v>2025</v>
      </c>
      <c r="B355" s="83">
        <v>244</v>
      </c>
      <c r="C355" s="83" t="s">
        <v>1288</v>
      </c>
      <c r="D355" s="83" t="s">
        <v>1305</v>
      </c>
      <c r="E355" s="83" t="s">
        <v>1305</v>
      </c>
      <c r="F355" s="83" t="s">
        <v>202</v>
      </c>
      <c r="G355" s="8" t="s">
        <v>20</v>
      </c>
      <c r="H355" s="368"/>
      <c r="I355" s="358"/>
      <c r="J355" s="4" t="s">
        <v>1622</v>
      </c>
      <c r="K355" s="83"/>
      <c r="L355" s="359">
        <v>45939</v>
      </c>
      <c r="M355" s="83"/>
      <c r="N355" s="83"/>
      <c r="O355" s="363" t="s">
        <v>133</v>
      </c>
      <c r="P355" s="83" t="s">
        <v>238</v>
      </c>
      <c r="Q355" s="342"/>
      <c r="R355" s="343"/>
    </row>
    <row r="356" spans="1:18" ht="15" customHeight="1" x14ac:dyDescent="0.25">
      <c r="A356" s="8">
        <v>2025</v>
      </c>
      <c r="B356" s="83">
        <v>245</v>
      </c>
      <c r="C356" s="83" t="s">
        <v>1289</v>
      </c>
      <c r="D356" s="83" t="s">
        <v>1306</v>
      </c>
      <c r="E356" s="83" t="s">
        <v>1307</v>
      </c>
      <c r="F356" s="83" t="s">
        <v>366</v>
      </c>
      <c r="G356" s="8" t="s">
        <v>20</v>
      </c>
      <c r="H356" s="83">
        <v>2005187114</v>
      </c>
      <c r="I356" s="358">
        <v>937.42</v>
      </c>
      <c r="J356" s="4" t="s">
        <v>1611</v>
      </c>
      <c r="K356" s="83"/>
      <c r="L356" s="359">
        <v>45928</v>
      </c>
      <c r="M356" s="83"/>
      <c r="N356" s="83"/>
      <c r="O356" s="363" t="s">
        <v>133</v>
      </c>
      <c r="P356" s="83" t="s">
        <v>238</v>
      </c>
      <c r="Q356" s="251"/>
      <c r="R356" s="343"/>
    </row>
    <row r="357" spans="1:18" s="343" customFormat="1" ht="15" customHeight="1" x14ac:dyDescent="0.25">
      <c r="A357" s="6">
        <v>2025</v>
      </c>
      <c r="B357" s="81">
        <v>246</v>
      </c>
      <c r="C357" s="81" t="s">
        <v>1290</v>
      </c>
      <c r="D357" s="81" t="s">
        <v>1294</v>
      </c>
      <c r="E357" s="81" t="s">
        <v>1295</v>
      </c>
      <c r="F357" s="81" t="s">
        <v>101</v>
      </c>
      <c r="G357" s="81" t="s">
        <v>1287</v>
      </c>
      <c r="H357" s="274">
        <v>202518990491</v>
      </c>
      <c r="I357" s="326">
        <v>138.69999999999999</v>
      </c>
      <c r="J357" s="4" t="s">
        <v>1611</v>
      </c>
      <c r="K357" s="81"/>
      <c r="L357" s="84">
        <v>45942</v>
      </c>
      <c r="M357" s="81"/>
      <c r="N357" s="81"/>
      <c r="O357" s="81"/>
      <c r="P357" s="81" t="s">
        <v>54</v>
      </c>
      <c r="Q357" s="251"/>
      <c r="R357" s="82"/>
    </row>
    <row r="358" spans="1:18" ht="15" customHeight="1" x14ac:dyDescent="0.25">
      <c r="A358" s="6">
        <v>2025</v>
      </c>
      <c r="B358" s="81">
        <v>247</v>
      </c>
      <c r="C358" s="81" t="s">
        <v>1291</v>
      </c>
      <c r="D358" s="81"/>
      <c r="E358" s="81"/>
      <c r="F358" s="81"/>
      <c r="G358" s="81"/>
      <c r="H358" s="85"/>
      <c r="I358" s="326"/>
      <c r="J358" s="4" t="s">
        <v>1611</v>
      </c>
      <c r="K358" s="81"/>
      <c r="L358" s="84"/>
      <c r="M358" s="81"/>
      <c r="N358" s="81"/>
      <c r="O358" s="81"/>
      <c r="P358" s="81"/>
      <c r="Q358" s="251" t="s">
        <v>1583</v>
      </c>
    </row>
    <row r="359" spans="1:18" ht="15" customHeight="1" x14ac:dyDescent="0.3">
      <c r="A359" s="6">
        <v>2025</v>
      </c>
      <c r="B359" s="81">
        <v>248</v>
      </c>
      <c r="C359" s="81" t="s">
        <v>1292</v>
      </c>
      <c r="D359" s="81" t="s">
        <v>1296</v>
      </c>
      <c r="E359" s="256" t="s">
        <v>1297</v>
      </c>
      <c r="F359" s="81" t="s">
        <v>101</v>
      </c>
      <c r="G359" s="81" t="s">
        <v>1287</v>
      </c>
      <c r="H359" s="274">
        <v>202518990500</v>
      </c>
      <c r="I359" s="326">
        <v>1103</v>
      </c>
      <c r="J359" s="4" t="s">
        <v>1611</v>
      </c>
      <c r="K359" s="81"/>
      <c r="L359" s="84">
        <v>45966</v>
      </c>
      <c r="M359" s="81"/>
      <c r="N359" s="81"/>
      <c r="O359" s="81"/>
      <c r="P359" s="81" t="s">
        <v>54</v>
      </c>
      <c r="Q359" s="251"/>
    </row>
    <row r="360" spans="1:18" x14ac:dyDescent="0.25">
      <c r="A360" s="6">
        <v>2025</v>
      </c>
      <c r="B360" s="81">
        <v>249</v>
      </c>
      <c r="C360" s="81" t="s">
        <v>1293</v>
      </c>
      <c r="D360" s="81" t="s">
        <v>1298</v>
      </c>
      <c r="E360" s="2" t="s">
        <v>1299</v>
      </c>
      <c r="F360" s="81" t="s">
        <v>218</v>
      </c>
      <c r="G360" s="6" t="s">
        <v>20</v>
      </c>
      <c r="H360" s="274">
        <v>202518990510</v>
      </c>
      <c r="I360" s="326">
        <v>971.3</v>
      </c>
      <c r="J360" s="4" t="s">
        <v>1618</v>
      </c>
      <c r="K360" s="81"/>
      <c r="L360" s="84">
        <v>45934</v>
      </c>
      <c r="M360" s="81"/>
      <c r="N360" s="81"/>
      <c r="O360" s="81"/>
      <c r="P360" s="81" t="s">
        <v>54</v>
      </c>
      <c r="Q360" s="251"/>
    </row>
    <row r="361" spans="1:18" ht="15" customHeight="1" x14ac:dyDescent="0.25">
      <c r="A361" s="6">
        <v>2025</v>
      </c>
      <c r="B361" s="81">
        <v>250</v>
      </c>
      <c r="C361" s="213" t="s">
        <v>1300</v>
      </c>
      <c r="D361" s="213" t="s">
        <v>1376</v>
      </c>
      <c r="E361" s="279"/>
      <c r="F361" s="81"/>
      <c r="G361" s="213"/>
      <c r="H361" s="187"/>
      <c r="I361" s="332"/>
      <c r="J361" s="4" t="s">
        <v>1618</v>
      </c>
      <c r="K361" s="213"/>
      <c r="L361" s="289"/>
      <c r="M361" s="81"/>
      <c r="N361" s="81"/>
      <c r="O361" s="213"/>
      <c r="P361" s="213" t="s">
        <v>54</v>
      </c>
      <c r="Q361" s="345"/>
    </row>
    <row r="362" spans="1:18" x14ac:dyDescent="0.25">
      <c r="A362" s="6">
        <v>2025</v>
      </c>
      <c r="B362" s="81">
        <v>251</v>
      </c>
      <c r="C362" s="81" t="s">
        <v>1301</v>
      </c>
      <c r="D362" s="81" t="s">
        <v>1302</v>
      </c>
      <c r="E362" s="81"/>
      <c r="F362" s="81" t="s">
        <v>218</v>
      </c>
      <c r="G362" s="81" t="s">
        <v>1287</v>
      </c>
      <c r="H362" s="274">
        <v>202519009311</v>
      </c>
      <c r="I362" s="326">
        <v>2197</v>
      </c>
      <c r="J362" s="4" t="s">
        <v>1611</v>
      </c>
      <c r="K362" s="81"/>
      <c r="L362" s="84">
        <v>45937</v>
      </c>
      <c r="M362" s="81"/>
      <c r="N362" s="81"/>
      <c r="O362" s="81"/>
      <c r="P362" s="81" t="s">
        <v>54</v>
      </c>
      <c r="Q362" s="251"/>
    </row>
    <row r="363" spans="1:18" x14ac:dyDescent="0.25">
      <c r="A363" s="6">
        <v>2025</v>
      </c>
      <c r="B363" s="81">
        <v>252</v>
      </c>
      <c r="C363" s="81" t="s">
        <v>1318</v>
      </c>
      <c r="D363" s="81" t="s">
        <v>1319</v>
      </c>
      <c r="E363" s="81" t="s">
        <v>1323</v>
      </c>
      <c r="F363" s="278" t="s">
        <v>33</v>
      </c>
      <c r="G363" s="6" t="s">
        <v>20</v>
      </c>
      <c r="H363" s="274">
        <v>202519002626</v>
      </c>
      <c r="I363" s="326">
        <v>22900</v>
      </c>
      <c r="J363" s="4" t="s">
        <v>1611</v>
      </c>
      <c r="K363" s="81"/>
      <c r="L363" s="84"/>
      <c r="M363" s="81"/>
      <c r="N363" s="81"/>
      <c r="O363" s="81"/>
      <c r="P363" s="81" t="s">
        <v>621</v>
      </c>
      <c r="Q363" s="251"/>
    </row>
    <row r="364" spans="1:18" x14ac:dyDescent="0.25">
      <c r="A364" s="6">
        <v>2025</v>
      </c>
      <c r="B364" s="81">
        <v>253</v>
      </c>
      <c r="C364" s="81" t="s">
        <v>1320</v>
      </c>
      <c r="D364" s="81" t="s">
        <v>1321</v>
      </c>
      <c r="E364" s="81" t="s">
        <v>1324</v>
      </c>
      <c r="F364" s="81" t="s">
        <v>758</v>
      </c>
      <c r="G364" s="81" t="s">
        <v>527</v>
      </c>
      <c r="H364" s="274">
        <v>202519009252</v>
      </c>
      <c r="I364" s="326">
        <v>2246</v>
      </c>
      <c r="J364" s="4" t="s">
        <v>1618</v>
      </c>
      <c r="K364" s="81"/>
      <c r="L364" s="84"/>
      <c r="M364" s="81"/>
      <c r="N364" s="81"/>
      <c r="O364" s="81"/>
      <c r="P364" s="81" t="s">
        <v>621</v>
      </c>
      <c r="Q364" s="251"/>
    </row>
    <row r="365" spans="1:18" x14ac:dyDescent="0.25">
      <c r="A365" s="6">
        <v>2025</v>
      </c>
      <c r="B365" s="81">
        <v>254</v>
      </c>
      <c r="C365" s="213" t="s">
        <v>1322</v>
      </c>
      <c r="D365" s="213" t="s">
        <v>1345</v>
      </c>
      <c r="E365" s="81"/>
      <c r="F365" s="81"/>
      <c r="G365" s="213" t="s">
        <v>1325</v>
      </c>
      <c r="H365" s="374" t="s">
        <v>1573</v>
      </c>
      <c r="I365" s="332">
        <v>1893</v>
      </c>
      <c r="J365" s="4" t="s">
        <v>1611</v>
      </c>
      <c r="K365" s="213"/>
      <c r="L365" s="289"/>
      <c r="M365" s="81"/>
      <c r="N365" s="81"/>
      <c r="O365" s="213"/>
      <c r="P365" s="213" t="s">
        <v>621</v>
      </c>
      <c r="Q365" s="251"/>
    </row>
    <row r="366" spans="1:18" x14ac:dyDescent="0.25">
      <c r="A366" s="6">
        <v>2025</v>
      </c>
      <c r="B366" s="81">
        <v>255</v>
      </c>
      <c r="C366" s="213" t="s">
        <v>1332</v>
      </c>
      <c r="D366" s="213" t="s">
        <v>1344</v>
      </c>
      <c r="E366" s="81"/>
      <c r="F366" s="81" t="s">
        <v>33</v>
      </c>
      <c r="G366" s="11" t="s">
        <v>20</v>
      </c>
      <c r="H366" s="187"/>
      <c r="I366" s="332">
        <v>23866</v>
      </c>
      <c r="J366" s="4" t="s">
        <v>1611</v>
      </c>
      <c r="K366" s="213"/>
      <c r="L366" s="289"/>
      <c r="M366" s="81"/>
      <c r="N366" s="81"/>
      <c r="O366" s="213"/>
      <c r="P366" s="213" t="s">
        <v>24</v>
      </c>
      <c r="Q366" s="251"/>
    </row>
    <row r="367" spans="1:18" ht="15" customHeight="1" x14ac:dyDescent="0.25">
      <c r="A367" s="6">
        <v>2025</v>
      </c>
      <c r="B367" s="81">
        <v>256</v>
      </c>
      <c r="C367" s="213" t="s">
        <v>1333</v>
      </c>
      <c r="D367" s="213" t="s">
        <v>1377</v>
      </c>
      <c r="E367" s="81"/>
      <c r="F367" s="81"/>
      <c r="G367" s="11" t="s">
        <v>20</v>
      </c>
      <c r="H367" s="374" t="s">
        <v>1572</v>
      </c>
      <c r="I367" s="332">
        <v>2100</v>
      </c>
      <c r="J367" s="4" t="s">
        <v>1611</v>
      </c>
      <c r="K367" s="213"/>
      <c r="L367" s="289"/>
      <c r="M367" s="81"/>
      <c r="N367" s="81"/>
      <c r="O367" s="213"/>
      <c r="P367" s="213" t="s">
        <v>24</v>
      </c>
      <c r="Q367" s="251"/>
    </row>
    <row r="368" spans="1:18" ht="15" customHeight="1" x14ac:dyDescent="0.25">
      <c r="A368" s="6">
        <v>2025</v>
      </c>
      <c r="B368" s="81">
        <v>257</v>
      </c>
      <c r="C368" s="213" t="s">
        <v>1334</v>
      </c>
      <c r="D368" s="213" t="s">
        <v>1505</v>
      </c>
      <c r="E368" s="81"/>
      <c r="F368" s="81"/>
      <c r="G368" s="213" t="s">
        <v>1367</v>
      </c>
      <c r="H368" s="187"/>
      <c r="I368" s="332">
        <v>2984</v>
      </c>
      <c r="J368" s="4" t="s">
        <v>1611</v>
      </c>
      <c r="K368" s="213"/>
      <c r="L368" s="289"/>
      <c r="M368" s="81"/>
      <c r="N368" s="81"/>
      <c r="O368" s="213"/>
      <c r="P368" s="213" t="s">
        <v>24</v>
      </c>
      <c r="Q368" s="251"/>
    </row>
    <row r="369" spans="1:18" x14ac:dyDescent="0.25">
      <c r="A369" s="81">
        <v>2025</v>
      </c>
      <c r="B369" s="81">
        <v>258</v>
      </c>
      <c r="C369" s="81" t="s">
        <v>1335</v>
      </c>
      <c r="D369" s="81" t="s">
        <v>1354</v>
      </c>
      <c r="E369" s="81"/>
      <c r="F369" s="81"/>
      <c r="G369" s="81" t="s">
        <v>1367</v>
      </c>
      <c r="H369" s="274" t="s">
        <v>1568</v>
      </c>
      <c r="I369" s="326">
        <v>10962</v>
      </c>
      <c r="J369" s="4" t="s">
        <v>1611</v>
      </c>
      <c r="K369" s="81"/>
      <c r="L369" s="84"/>
      <c r="M369" s="81"/>
      <c r="N369" s="81"/>
      <c r="O369" s="81"/>
      <c r="P369" s="81" t="s">
        <v>621</v>
      </c>
      <c r="Q369" s="251"/>
    </row>
    <row r="370" spans="1:18" x14ac:dyDescent="0.25">
      <c r="A370" s="6">
        <v>2025</v>
      </c>
      <c r="B370" s="81">
        <v>259</v>
      </c>
      <c r="C370" s="81" t="s">
        <v>1336</v>
      </c>
      <c r="D370" s="433" t="s">
        <v>1378</v>
      </c>
      <c r="E370" s="81"/>
      <c r="F370" s="81"/>
      <c r="G370" s="435" t="s">
        <v>20</v>
      </c>
      <c r="H370" s="274">
        <v>202519024115</v>
      </c>
      <c r="I370" s="326">
        <v>1650</v>
      </c>
      <c r="J370" s="4" t="s">
        <v>1618</v>
      </c>
      <c r="K370" s="433"/>
      <c r="L370" s="444">
        <v>45985</v>
      </c>
      <c r="M370" s="81"/>
      <c r="N370" s="81"/>
      <c r="O370" s="433" t="s">
        <v>1379</v>
      </c>
      <c r="P370" s="433" t="s">
        <v>54</v>
      </c>
      <c r="Q370" s="251"/>
    </row>
    <row r="371" spans="1:18" ht="15" customHeight="1" x14ac:dyDescent="0.25">
      <c r="A371" s="6">
        <v>2025</v>
      </c>
      <c r="B371" s="81">
        <v>260</v>
      </c>
      <c r="C371" s="81" t="s">
        <v>1337</v>
      </c>
      <c r="D371" s="81" t="s">
        <v>1380</v>
      </c>
      <c r="E371" s="81"/>
      <c r="F371" s="81"/>
      <c r="G371" s="81" t="s">
        <v>1287</v>
      </c>
      <c r="H371" s="274">
        <v>202519036320</v>
      </c>
      <c r="I371" s="326">
        <v>3179</v>
      </c>
      <c r="J371" s="4" t="s">
        <v>1611</v>
      </c>
      <c r="K371" s="81"/>
      <c r="L371" s="84">
        <v>45953</v>
      </c>
      <c r="M371" s="81"/>
      <c r="N371" s="81"/>
      <c r="O371" s="22" t="s">
        <v>133</v>
      </c>
      <c r="P371" s="81" t="s">
        <v>54</v>
      </c>
      <c r="Q371" s="251"/>
    </row>
    <row r="372" spans="1:18" x14ac:dyDescent="0.25">
      <c r="A372" s="6">
        <v>2025</v>
      </c>
      <c r="B372" s="81">
        <v>261</v>
      </c>
      <c r="C372" s="213" t="s">
        <v>1338</v>
      </c>
      <c r="D372" s="213" t="s">
        <v>1381</v>
      </c>
      <c r="E372" s="81"/>
      <c r="F372" s="81"/>
      <c r="G372" s="11" t="s">
        <v>20</v>
      </c>
      <c r="H372" s="374" t="s">
        <v>1504</v>
      </c>
      <c r="I372" s="332">
        <v>2762</v>
      </c>
      <c r="J372" s="4" t="s">
        <v>1618</v>
      </c>
      <c r="K372" s="213"/>
      <c r="L372" s="289"/>
      <c r="M372" s="81"/>
      <c r="N372" s="81"/>
      <c r="O372" s="213"/>
      <c r="P372" s="213" t="s">
        <v>24</v>
      </c>
      <c r="Q372" s="345"/>
    </row>
    <row r="373" spans="1:18" ht="15" customHeight="1" x14ac:dyDescent="0.25">
      <c r="A373" s="6">
        <v>2025</v>
      </c>
      <c r="B373" s="81">
        <v>262</v>
      </c>
      <c r="C373" s="81" t="s">
        <v>1525</v>
      </c>
      <c r="D373" s="81" t="s">
        <v>1382</v>
      </c>
      <c r="E373" s="81"/>
      <c r="F373" s="81"/>
      <c r="G373" s="11" t="s">
        <v>20</v>
      </c>
      <c r="H373" s="374" t="s">
        <v>1570</v>
      </c>
      <c r="I373" s="326">
        <v>5262</v>
      </c>
      <c r="J373" s="4" t="s">
        <v>1618</v>
      </c>
      <c r="K373" s="81"/>
      <c r="L373" s="84">
        <v>45942</v>
      </c>
      <c r="M373" s="81"/>
      <c r="N373" s="81"/>
      <c r="O373" s="22" t="s">
        <v>133</v>
      </c>
      <c r="P373" s="81"/>
      <c r="Q373" s="251"/>
    </row>
    <row r="374" spans="1:18" x14ac:dyDescent="0.25">
      <c r="A374" s="6">
        <v>2025</v>
      </c>
      <c r="B374" s="81">
        <v>263</v>
      </c>
      <c r="C374" s="81" t="s">
        <v>1339</v>
      </c>
      <c r="D374" s="81" t="s">
        <v>1383</v>
      </c>
      <c r="E374" s="81"/>
      <c r="F374" s="81"/>
      <c r="G374" s="6" t="s">
        <v>20</v>
      </c>
      <c r="H374" s="274">
        <v>202519036344</v>
      </c>
      <c r="I374" s="326">
        <v>2224.1999999999998</v>
      </c>
      <c r="J374" s="4" t="s">
        <v>1611</v>
      </c>
      <c r="K374" s="81"/>
      <c r="L374" s="84">
        <v>45945</v>
      </c>
      <c r="M374" s="81"/>
      <c r="N374" s="81"/>
      <c r="O374" s="22" t="s">
        <v>133</v>
      </c>
      <c r="P374" s="81" t="s">
        <v>54</v>
      </c>
      <c r="Q374" s="251"/>
    </row>
    <row r="375" spans="1:18" ht="14.45" customHeight="1" x14ac:dyDescent="0.25">
      <c r="A375" s="81">
        <v>2025</v>
      </c>
      <c r="B375" s="81">
        <v>264</v>
      </c>
      <c r="C375" s="81" t="s">
        <v>1340</v>
      </c>
      <c r="D375" s="81" t="s">
        <v>1384</v>
      </c>
      <c r="E375" s="81"/>
      <c r="F375" s="81"/>
      <c r="G375" s="81" t="s">
        <v>1509</v>
      </c>
      <c r="H375" s="274">
        <v>202519041596</v>
      </c>
      <c r="I375" s="274">
        <v>330</v>
      </c>
      <c r="J375" s="4" t="s">
        <v>1611</v>
      </c>
      <c r="K375" s="81"/>
      <c r="L375" s="84">
        <v>45945</v>
      </c>
      <c r="M375" s="81"/>
      <c r="N375" s="81"/>
      <c r="O375" s="81" t="s">
        <v>1385</v>
      </c>
      <c r="P375" s="81" t="s">
        <v>54</v>
      </c>
      <c r="Q375" s="251"/>
    </row>
    <row r="376" spans="1:18" x14ac:dyDescent="0.25">
      <c r="A376" s="6">
        <v>2025</v>
      </c>
      <c r="B376" s="81">
        <v>265</v>
      </c>
      <c r="C376" s="213" t="s">
        <v>1341</v>
      </c>
      <c r="D376" s="213" t="s">
        <v>1386</v>
      </c>
      <c r="E376" s="81"/>
      <c r="F376" s="81"/>
      <c r="G376" s="375" t="s">
        <v>1367</v>
      </c>
      <c r="H376" s="187"/>
      <c r="I376" s="332">
        <v>1336</v>
      </c>
      <c r="J376" s="4" t="s">
        <v>1611</v>
      </c>
      <c r="K376" s="213"/>
      <c r="L376" s="289"/>
      <c r="M376" s="81"/>
      <c r="N376" s="81"/>
      <c r="O376" s="213"/>
      <c r="P376" s="213" t="s">
        <v>24</v>
      </c>
      <c r="Q376" s="251"/>
    </row>
    <row r="377" spans="1:18" ht="14.45" customHeight="1" x14ac:dyDescent="0.25">
      <c r="A377" s="6">
        <v>2025</v>
      </c>
      <c r="B377" s="81">
        <v>266</v>
      </c>
      <c r="C377" s="81" t="s">
        <v>1342</v>
      </c>
      <c r="D377" s="81" t="s">
        <v>1387</v>
      </c>
      <c r="E377" s="81"/>
      <c r="F377" s="81"/>
      <c r="G377" s="81" t="s">
        <v>1509</v>
      </c>
      <c r="H377" s="274">
        <v>202519053634</v>
      </c>
      <c r="I377" s="326">
        <v>649</v>
      </c>
      <c r="J377" s="4" t="s">
        <v>1611</v>
      </c>
      <c r="K377" s="81"/>
      <c r="L377" s="84">
        <v>45949</v>
      </c>
      <c r="M377" s="81"/>
      <c r="N377" s="81"/>
      <c r="O377" s="81"/>
      <c r="P377" s="81" t="s">
        <v>54</v>
      </c>
      <c r="Q377" s="251"/>
    </row>
    <row r="378" spans="1:18" ht="15" customHeight="1" x14ac:dyDescent="0.25">
      <c r="A378" s="6">
        <v>2025</v>
      </c>
      <c r="B378" s="81">
        <v>267</v>
      </c>
      <c r="C378" s="81" t="s">
        <v>1343</v>
      </c>
      <c r="D378" s="81" t="s">
        <v>1388</v>
      </c>
      <c r="E378" s="81"/>
      <c r="F378" s="81"/>
      <c r="G378" s="6" t="s">
        <v>20</v>
      </c>
      <c r="H378" s="390">
        <v>202519191185</v>
      </c>
      <c r="I378" s="326">
        <v>966.23</v>
      </c>
      <c r="J378" s="4" t="s">
        <v>1618</v>
      </c>
      <c r="K378" s="81"/>
      <c r="L378" s="84">
        <v>45972</v>
      </c>
      <c r="M378" s="81"/>
      <c r="N378" s="81"/>
      <c r="O378" s="81" t="s">
        <v>1385</v>
      </c>
      <c r="P378" s="81" t="s">
        <v>238</v>
      </c>
      <c r="Q378" s="251"/>
    </row>
    <row r="379" spans="1:18" x14ac:dyDescent="0.25">
      <c r="A379" s="81">
        <v>2025</v>
      </c>
      <c r="B379" s="81">
        <v>268</v>
      </c>
      <c r="C379" s="81" t="s">
        <v>1355</v>
      </c>
      <c r="D379" s="81" t="s">
        <v>1358</v>
      </c>
      <c r="E379" s="81"/>
      <c r="F379" s="81"/>
      <c r="G379" s="81" t="s">
        <v>1503</v>
      </c>
      <c r="H379" s="274">
        <v>202519058434</v>
      </c>
      <c r="I379" s="326">
        <v>6990</v>
      </c>
      <c r="J379" s="4" t="s">
        <v>1611</v>
      </c>
      <c r="K379" s="81"/>
      <c r="L379" s="84"/>
      <c r="M379" s="81"/>
      <c r="N379" s="81"/>
      <c r="O379" s="81"/>
      <c r="P379" s="81" t="s">
        <v>621</v>
      </c>
      <c r="Q379" s="251"/>
    </row>
    <row r="380" spans="1:18" x14ac:dyDescent="0.25">
      <c r="A380" s="8">
        <v>2025</v>
      </c>
      <c r="B380" s="83">
        <v>269</v>
      </c>
      <c r="C380" s="83" t="s">
        <v>1389</v>
      </c>
      <c r="D380" s="83" t="s">
        <v>1408</v>
      </c>
      <c r="E380" s="83"/>
      <c r="F380" s="83"/>
      <c r="G380" s="6" t="s">
        <v>20</v>
      </c>
      <c r="H380" s="390">
        <v>202519059136</v>
      </c>
      <c r="I380" s="358">
        <v>1928.4280000000001</v>
      </c>
      <c r="J380" s="4" t="s">
        <v>1622</v>
      </c>
      <c r="K380" s="83" t="s">
        <v>798</v>
      </c>
      <c r="L380" s="84">
        <v>45949</v>
      </c>
      <c r="M380" s="83"/>
      <c r="N380" s="83"/>
      <c r="O380" s="83"/>
      <c r="P380" s="83" t="s">
        <v>238</v>
      </c>
      <c r="Q380" s="342"/>
      <c r="R380" s="343"/>
    </row>
    <row r="381" spans="1:18" x14ac:dyDescent="0.25">
      <c r="A381" s="8">
        <v>2025</v>
      </c>
      <c r="B381" s="83">
        <v>270</v>
      </c>
      <c r="C381" s="83" t="s">
        <v>1390</v>
      </c>
      <c r="D381" s="83" t="s">
        <v>1409</v>
      </c>
      <c r="E381" s="83"/>
      <c r="F381" s="83"/>
      <c r="G381" s="6" t="s">
        <v>1524</v>
      </c>
      <c r="H381" s="439"/>
      <c r="I381" s="358"/>
      <c r="J381" s="4" t="s">
        <v>1618</v>
      </c>
      <c r="K381" s="83"/>
      <c r="L381" s="359"/>
      <c r="M381" s="83"/>
      <c r="N381" s="83"/>
      <c r="O381" s="83"/>
      <c r="P381" s="83" t="s">
        <v>238</v>
      </c>
      <c r="Q381" s="342"/>
      <c r="R381" s="343"/>
    </row>
    <row r="382" spans="1:18" x14ac:dyDescent="0.25">
      <c r="A382" s="6">
        <v>2025</v>
      </c>
      <c r="B382" s="81">
        <v>271</v>
      </c>
      <c r="C382" s="81" t="s">
        <v>1391</v>
      </c>
      <c r="D382" s="81" t="s">
        <v>1410</v>
      </c>
      <c r="E382" s="81"/>
      <c r="F382" s="81"/>
      <c r="G382" s="6" t="s">
        <v>20</v>
      </c>
      <c r="H382" s="274">
        <v>202519077368</v>
      </c>
      <c r="I382" s="326">
        <v>680</v>
      </c>
      <c r="J382" s="4" t="s">
        <v>1618</v>
      </c>
      <c r="K382" s="81"/>
      <c r="L382" s="84">
        <v>45971</v>
      </c>
      <c r="M382" s="81"/>
      <c r="N382" s="81"/>
      <c r="O382" s="22" t="s">
        <v>133</v>
      </c>
      <c r="P382" s="81" t="s">
        <v>54</v>
      </c>
      <c r="Q382" s="251"/>
    </row>
    <row r="383" spans="1:18" s="343" customFormat="1" x14ac:dyDescent="0.25">
      <c r="A383" s="6">
        <v>2025</v>
      </c>
      <c r="B383" s="81">
        <v>272</v>
      </c>
      <c r="C383" s="213" t="s">
        <v>1356</v>
      </c>
      <c r="D383" s="213" t="s">
        <v>1501</v>
      </c>
      <c r="E383" s="81"/>
      <c r="F383" s="81"/>
      <c r="G383" s="213" t="s">
        <v>1367</v>
      </c>
      <c r="H383" s="438"/>
      <c r="I383" s="332">
        <v>36200</v>
      </c>
      <c r="J383" s="4" t="s">
        <v>1611</v>
      </c>
      <c r="K383" s="213"/>
      <c r="L383" s="289"/>
      <c r="M383" s="81"/>
      <c r="N383" s="81"/>
      <c r="O383" s="213"/>
      <c r="P383" s="213" t="s">
        <v>24</v>
      </c>
      <c r="Q383" s="251"/>
      <c r="R383" s="82"/>
    </row>
    <row r="384" spans="1:18" s="343" customFormat="1" x14ac:dyDescent="0.25">
      <c r="A384" s="83">
        <v>2025</v>
      </c>
      <c r="B384" s="83">
        <v>273</v>
      </c>
      <c r="C384" s="83" t="s">
        <v>1392</v>
      </c>
      <c r="D384" s="83" t="s">
        <v>1411</v>
      </c>
      <c r="E384" s="83"/>
      <c r="F384" s="83"/>
      <c r="G384" s="6" t="s">
        <v>20</v>
      </c>
      <c r="H384" s="452">
        <v>202519099825</v>
      </c>
      <c r="I384" s="358">
        <v>356.4</v>
      </c>
      <c r="J384" s="4" t="s">
        <v>1622</v>
      </c>
      <c r="K384" s="83" t="s">
        <v>798</v>
      </c>
      <c r="L384" s="359">
        <v>45964</v>
      </c>
      <c r="M384" s="83"/>
      <c r="N384" s="83"/>
      <c r="O384" s="83"/>
      <c r="P384" s="83" t="s">
        <v>238</v>
      </c>
      <c r="Q384" s="342"/>
    </row>
    <row r="385" spans="1:18" x14ac:dyDescent="0.25">
      <c r="A385" s="6">
        <v>2025</v>
      </c>
      <c r="B385" s="81">
        <v>274</v>
      </c>
      <c r="C385" s="213" t="s">
        <v>1393</v>
      </c>
      <c r="D385" s="213" t="s">
        <v>1360</v>
      </c>
      <c r="E385" s="81"/>
      <c r="F385" s="81"/>
      <c r="G385" s="213" t="s">
        <v>1367</v>
      </c>
      <c r="H385" s="187"/>
      <c r="I385" s="332">
        <v>9921</v>
      </c>
      <c r="J385" s="4" t="s">
        <v>1611</v>
      </c>
      <c r="K385" s="213"/>
      <c r="L385" s="289"/>
      <c r="M385" s="81"/>
      <c r="N385" s="81"/>
      <c r="O385" s="213"/>
      <c r="P385" s="213" t="s">
        <v>24</v>
      </c>
      <c r="Q385" s="251"/>
    </row>
    <row r="386" spans="1:18" x14ac:dyDescent="0.25">
      <c r="A386" s="6">
        <v>2025</v>
      </c>
      <c r="B386" s="81">
        <v>275</v>
      </c>
      <c r="C386" s="81" t="s">
        <v>1357</v>
      </c>
      <c r="D386" s="81" t="s">
        <v>1361</v>
      </c>
      <c r="E386" s="81"/>
      <c r="F386" s="81"/>
      <c r="G386" s="81" t="s">
        <v>1500</v>
      </c>
      <c r="H386" s="269" t="s">
        <v>1499</v>
      </c>
      <c r="I386" s="326">
        <v>405</v>
      </c>
      <c r="J386" s="4" t="s">
        <v>1618</v>
      </c>
      <c r="K386" s="81"/>
      <c r="L386" s="84"/>
      <c r="M386" s="81"/>
      <c r="N386" s="81"/>
      <c r="O386" s="81"/>
      <c r="P386" s="81" t="s">
        <v>621</v>
      </c>
      <c r="Q386" s="251"/>
    </row>
    <row r="387" spans="1:18" s="343" customFormat="1" x14ac:dyDescent="0.25">
      <c r="A387" s="6">
        <v>2025</v>
      </c>
      <c r="B387" s="81">
        <v>276</v>
      </c>
      <c r="C387" s="213" t="s">
        <v>1394</v>
      </c>
      <c r="D387" s="213" t="s">
        <v>1412</v>
      </c>
      <c r="E387" s="81"/>
      <c r="F387" s="81"/>
      <c r="G387" s="376" t="s">
        <v>20</v>
      </c>
      <c r="H387" s="438"/>
      <c r="I387" s="332">
        <v>415</v>
      </c>
      <c r="J387" s="4" t="s">
        <v>1611</v>
      </c>
      <c r="K387" s="213"/>
      <c r="L387" s="289"/>
      <c r="M387" s="81"/>
      <c r="N387" s="81"/>
      <c r="O387" s="213"/>
      <c r="P387" s="213" t="s">
        <v>24</v>
      </c>
      <c r="Q387" s="251"/>
      <c r="R387" s="82"/>
    </row>
    <row r="388" spans="1:18" x14ac:dyDescent="0.25">
      <c r="A388" s="6">
        <v>2025</v>
      </c>
      <c r="B388" s="81">
        <v>277</v>
      </c>
      <c r="C388" s="213" t="s">
        <v>1395</v>
      </c>
      <c r="D388" s="213" t="s">
        <v>1413</v>
      </c>
      <c r="E388" s="81"/>
      <c r="F388" s="81"/>
      <c r="G388" s="213" t="s">
        <v>1498</v>
      </c>
      <c r="H388" s="187"/>
      <c r="I388" s="332">
        <v>15550</v>
      </c>
      <c r="J388" s="4" t="s">
        <v>1611</v>
      </c>
      <c r="K388" s="213"/>
      <c r="L388" s="289"/>
      <c r="M388" s="81"/>
      <c r="N388" s="81"/>
      <c r="O388" s="213"/>
      <c r="P388" s="213" t="s">
        <v>24</v>
      </c>
      <c r="Q388" s="251"/>
    </row>
    <row r="389" spans="1:18" x14ac:dyDescent="0.25">
      <c r="A389" s="81">
        <v>2025</v>
      </c>
      <c r="B389" s="81">
        <v>278</v>
      </c>
      <c r="C389" s="81" t="s">
        <v>1396</v>
      </c>
      <c r="D389" s="81" t="s">
        <v>1414</v>
      </c>
      <c r="E389" s="81"/>
      <c r="F389" s="81"/>
      <c r="G389" s="81" t="s">
        <v>1415</v>
      </c>
      <c r="H389" s="85"/>
      <c r="I389" s="326"/>
      <c r="J389" s="4" t="s">
        <v>1622</v>
      </c>
      <c r="K389" s="81" t="s">
        <v>69</v>
      </c>
      <c r="L389" s="84"/>
      <c r="M389" s="81"/>
      <c r="N389" s="81"/>
      <c r="O389" s="81"/>
      <c r="P389" s="81" t="s">
        <v>54</v>
      </c>
      <c r="Q389" s="251"/>
    </row>
    <row r="390" spans="1:18" x14ac:dyDescent="0.25">
      <c r="A390" s="8">
        <v>2025</v>
      </c>
      <c r="B390" s="83">
        <v>279</v>
      </c>
      <c r="C390" s="83" t="s">
        <v>1397</v>
      </c>
      <c r="D390" s="83" t="s">
        <v>1416</v>
      </c>
      <c r="E390" s="83"/>
      <c r="F390" s="83"/>
      <c r="G390" s="83" t="s">
        <v>1519</v>
      </c>
      <c r="H390" s="269" t="s">
        <v>1603</v>
      </c>
      <c r="I390" s="358">
        <v>1670.35</v>
      </c>
      <c r="J390" s="83" t="s">
        <v>150</v>
      </c>
      <c r="K390" s="83"/>
      <c r="L390" s="359">
        <v>45967</v>
      </c>
      <c r="M390" s="83"/>
      <c r="N390" s="83"/>
      <c r="O390" s="22" t="s">
        <v>133</v>
      </c>
      <c r="P390" s="83" t="s">
        <v>238</v>
      </c>
      <c r="Q390" s="251"/>
      <c r="R390" s="343"/>
    </row>
    <row r="391" spans="1:18" x14ac:dyDescent="0.25">
      <c r="A391" s="8">
        <v>2025</v>
      </c>
      <c r="B391" s="83">
        <v>280</v>
      </c>
      <c r="C391" s="83" t="s">
        <v>1398</v>
      </c>
      <c r="D391" s="83" t="s">
        <v>1417</v>
      </c>
      <c r="E391" s="83"/>
      <c r="F391" s="83"/>
      <c r="G391" s="8" t="s">
        <v>20</v>
      </c>
      <c r="H391" s="390">
        <v>202519107931</v>
      </c>
      <c r="I391" s="358">
        <v>5610</v>
      </c>
      <c r="J391" s="4" t="s">
        <v>1611</v>
      </c>
      <c r="K391" s="83"/>
      <c r="L391" s="359">
        <v>45970</v>
      </c>
      <c r="M391" s="83"/>
      <c r="N391" s="83"/>
      <c r="O391" s="83"/>
      <c r="P391" s="83" t="s">
        <v>238</v>
      </c>
      <c r="Q391" s="251"/>
      <c r="R391" s="343"/>
    </row>
    <row r="392" spans="1:18" x14ac:dyDescent="0.25">
      <c r="A392" s="6">
        <v>2025</v>
      </c>
      <c r="B392" s="81">
        <v>281</v>
      </c>
      <c r="C392" s="81" t="s">
        <v>1359</v>
      </c>
      <c r="D392" s="81" t="s">
        <v>1366</v>
      </c>
      <c r="E392" s="81"/>
      <c r="F392" s="81"/>
      <c r="G392" s="81" t="s">
        <v>1367</v>
      </c>
      <c r="H392" s="269" t="s">
        <v>1497</v>
      </c>
      <c r="I392" s="443">
        <v>5150</v>
      </c>
      <c r="J392" s="4" t="s">
        <v>1611</v>
      </c>
      <c r="K392" s="81"/>
      <c r="L392" s="84"/>
      <c r="M392" s="81"/>
      <c r="N392" s="81"/>
      <c r="O392" s="81"/>
      <c r="P392" s="81" t="s">
        <v>621</v>
      </c>
      <c r="Q392" s="251"/>
    </row>
    <row r="393" spans="1:18" s="343" customFormat="1" x14ac:dyDescent="0.25">
      <c r="A393" s="6">
        <v>2025</v>
      </c>
      <c r="B393" s="81">
        <v>282</v>
      </c>
      <c r="C393" s="213" t="s">
        <v>1399</v>
      </c>
      <c r="D393" s="213" t="s">
        <v>1435</v>
      </c>
      <c r="E393" s="81"/>
      <c r="F393" s="81"/>
      <c r="G393" s="11" t="s">
        <v>20</v>
      </c>
      <c r="H393" s="187"/>
      <c r="I393" s="332">
        <v>3802</v>
      </c>
      <c r="J393" s="4" t="s">
        <v>1611</v>
      </c>
      <c r="K393" s="213"/>
      <c r="L393" s="289"/>
      <c r="M393" s="81"/>
      <c r="N393" s="81"/>
      <c r="O393" s="213"/>
      <c r="P393" s="213" t="s">
        <v>24</v>
      </c>
      <c r="Q393" s="251"/>
      <c r="R393" s="82"/>
    </row>
    <row r="394" spans="1:18" x14ac:dyDescent="0.25">
      <c r="A394" s="81">
        <v>2025</v>
      </c>
      <c r="B394" s="81">
        <v>283</v>
      </c>
      <c r="C394" s="81" t="s">
        <v>1400</v>
      </c>
      <c r="D394" s="81" t="s">
        <v>1436</v>
      </c>
      <c r="E394" s="81"/>
      <c r="F394" s="81"/>
      <c r="G394" s="6" t="s">
        <v>20</v>
      </c>
      <c r="H394" s="452">
        <v>202519120304</v>
      </c>
      <c r="I394" s="326">
        <v>566.27099999999996</v>
      </c>
      <c r="J394" s="4" t="s">
        <v>1618</v>
      </c>
      <c r="K394" s="433"/>
      <c r="L394" s="359">
        <v>45971</v>
      </c>
      <c r="M394" s="81"/>
      <c r="N394" s="81"/>
      <c r="O394" s="81"/>
      <c r="P394" s="81" t="s">
        <v>238</v>
      </c>
      <c r="Q394" s="251"/>
    </row>
    <row r="395" spans="1:18" x14ac:dyDescent="0.25">
      <c r="A395" s="6">
        <v>2025</v>
      </c>
      <c r="B395" s="81">
        <v>284</v>
      </c>
      <c r="C395" s="81" t="s">
        <v>1401</v>
      </c>
      <c r="D395" s="81" t="s">
        <v>1437</v>
      </c>
      <c r="E395" s="81"/>
      <c r="F395" s="81"/>
      <c r="G395" s="81"/>
      <c r="H395" s="85"/>
      <c r="I395" s="326"/>
      <c r="J395" s="81" t="s">
        <v>1611</v>
      </c>
      <c r="K395" s="81"/>
      <c r="L395" s="84"/>
      <c r="M395" s="81"/>
      <c r="N395" s="81"/>
      <c r="O395" s="81"/>
      <c r="P395" s="81"/>
      <c r="Q395" s="251" t="s">
        <v>1583</v>
      </c>
    </row>
    <row r="396" spans="1:18" x14ac:dyDescent="0.25">
      <c r="A396" s="8">
        <v>2025</v>
      </c>
      <c r="B396" s="369">
        <v>285</v>
      </c>
      <c r="C396" s="83" t="s">
        <v>1402</v>
      </c>
      <c r="D396" s="83" t="s">
        <v>1438</v>
      </c>
      <c r="E396" s="83"/>
      <c r="F396" s="83"/>
      <c r="G396" s="6" t="s">
        <v>20</v>
      </c>
      <c r="H396" s="357">
        <v>2005192073</v>
      </c>
      <c r="I396" s="358">
        <v>1793</v>
      </c>
      <c r="J396" s="4" t="s">
        <v>1611</v>
      </c>
      <c r="K396" s="83"/>
      <c r="L396" s="359">
        <v>45973</v>
      </c>
      <c r="M396" s="83"/>
      <c r="N396" s="83"/>
      <c r="O396" s="83"/>
      <c r="P396" s="83" t="s">
        <v>238</v>
      </c>
      <c r="Q396" s="251"/>
      <c r="R396" s="343"/>
    </row>
    <row r="397" spans="1:18" x14ac:dyDescent="0.25">
      <c r="A397" s="6">
        <v>2025</v>
      </c>
      <c r="B397" s="334">
        <v>286</v>
      </c>
      <c r="C397" s="81" t="s">
        <v>1403</v>
      </c>
      <c r="D397" s="81" t="s">
        <v>1439</v>
      </c>
      <c r="E397" s="81"/>
      <c r="F397" s="81"/>
      <c r="G397" s="81"/>
      <c r="H397" s="441"/>
      <c r="I397" s="326"/>
      <c r="J397" s="81" t="s">
        <v>1611</v>
      </c>
      <c r="K397" s="81"/>
      <c r="L397" s="84"/>
      <c r="M397" s="81"/>
      <c r="N397" s="81"/>
      <c r="O397" s="81"/>
      <c r="P397" s="81"/>
      <c r="Q397" s="335" t="s">
        <v>1583</v>
      </c>
    </row>
    <row r="398" spans="1:18" x14ac:dyDescent="0.25">
      <c r="A398" s="8">
        <v>2025</v>
      </c>
      <c r="B398" s="369">
        <v>287</v>
      </c>
      <c r="C398" s="83" t="s">
        <v>1404</v>
      </c>
      <c r="D398" s="83" t="s">
        <v>1440</v>
      </c>
      <c r="E398" s="83"/>
      <c r="F398" s="83"/>
      <c r="G398" s="8" t="s">
        <v>20</v>
      </c>
      <c r="H398" s="391">
        <v>2005192114</v>
      </c>
      <c r="I398" s="358">
        <v>1793</v>
      </c>
      <c r="J398" s="4" t="s">
        <v>1618</v>
      </c>
      <c r="K398" s="83"/>
      <c r="L398" s="359">
        <v>45973</v>
      </c>
      <c r="M398" s="83"/>
      <c r="N398" s="83"/>
      <c r="O398" s="83"/>
      <c r="P398" s="83" t="s">
        <v>238</v>
      </c>
      <c r="Q398" s="342"/>
      <c r="R398" s="343"/>
    </row>
    <row r="399" spans="1:18" x14ac:dyDescent="0.25">
      <c r="A399" s="81">
        <v>2025</v>
      </c>
      <c r="B399" s="334">
        <v>288</v>
      </c>
      <c r="C399" s="81" t="s">
        <v>1405</v>
      </c>
      <c r="D399" s="81" t="s">
        <v>1441</v>
      </c>
      <c r="E399" s="81"/>
      <c r="F399" s="81"/>
      <c r="G399" s="339" t="s">
        <v>1369</v>
      </c>
      <c r="H399" s="269" t="s">
        <v>1494</v>
      </c>
      <c r="I399" s="326">
        <v>6000</v>
      </c>
      <c r="J399" s="4" t="s">
        <v>1618</v>
      </c>
      <c r="K399" s="81"/>
      <c r="L399" s="84"/>
      <c r="M399" s="81"/>
      <c r="N399" s="81"/>
      <c r="O399" s="81"/>
      <c r="P399" s="81" t="s">
        <v>621</v>
      </c>
      <c r="Q399" s="251"/>
    </row>
    <row r="400" spans="1:18" x14ac:dyDescent="0.25">
      <c r="A400" s="6">
        <v>2025</v>
      </c>
      <c r="B400" s="334">
        <v>289</v>
      </c>
      <c r="C400" s="81" t="s">
        <v>1406</v>
      </c>
      <c r="D400" s="81" t="s">
        <v>1442</v>
      </c>
      <c r="E400" s="81"/>
      <c r="F400" s="81"/>
      <c r="G400" s="81" t="s">
        <v>1367</v>
      </c>
      <c r="H400" s="269" t="s">
        <v>1495</v>
      </c>
      <c r="I400" s="326">
        <v>6545</v>
      </c>
      <c r="J400" s="4" t="s">
        <v>1611</v>
      </c>
      <c r="K400" s="81"/>
      <c r="L400" s="84"/>
      <c r="M400" s="81"/>
      <c r="N400" s="81"/>
      <c r="O400" s="81"/>
      <c r="P400" s="81" t="s">
        <v>621</v>
      </c>
      <c r="Q400" s="251"/>
    </row>
    <row r="401" spans="1:18" s="343" customFormat="1" x14ac:dyDescent="0.25">
      <c r="A401" s="8">
        <v>2025</v>
      </c>
      <c r="B401" s="369">
        <v>290</v>
      </c>
      <c r="C401" s="83" t="s">
        <v>1407</v>
      </c>
      <c r="D401" s="83" t="s">
        <v>1443</v>
      </c>
      <c r="E401" s="83"/>
      <c r="F401" s="83"/>
      <c r="G401" s="8" t="s">
        <v>20</v>
      </c>
      <c r="H401" s="447">
        <v>2005193240</v>
      </c>
      <c r="I401" s="358">
        <v>950.4</v>
      </c>
      <c r="J401" s="4" t="s">
        <v>1618</v>
      </c>
      <c r="K401" s="83"/>
      <c r="L401" s="359">
        <v>46015</v>
      </c>
      <c r="M401" s="83"/>
      <c r="N401" s="83"/>
      <c r="O401" s="83"/>
      <c r="P401" s="83" t="s">
        <v>238</v>
      </c>
      <c r="Q401" s="449"/>
    </row>
    <row r="402" spans="1:18" x14ac:dyDescent="0.25">
      <c r="A402" s="6">
        <v>2025</v>
      </c>
      <c r="B402" s="334">
        <v>291</v>
      </c>
      <c r="C402" s="213" t="s">
        <v>1418</v>
      </c>
      <c r="D402" s="213" t="s">
        <v>1444</v>
      </c>
      <c r="E402" s="81"/>
      <c r="F402" s="81"/>
      <c r="G402" s="11" t="s">
        <v>20</v>
      </c>
      <c r="H402" s="187"/>
      <c r="I402" s="332">
        <v>15832</v>
      </c>
      <c r="J402" s="4" t="s">
        <v>1611</v>
      </c>
      <c r="K402" s="213"/>
      <c r="L402" s="289"/>
      <c r="M402" s="81"/>
      <c r="N402" s="81"/>
      <c r="O402" s="213"/>
      <c r="P402" s="213" t="s">
        <v>24</v>
      </c>
      <c r="Q402" s="335"/>
    </row>
    <row r="403" spans="1:18" x14ac:dyDescent="0.25">
      <c r="A403" s="8">
        <v>2025</v>
      </c>
      <c r="B403" s="369">
        <v>292</v>
      </c>
      <c r="C403" s="83" t="s">
        <v>1419</v>
      </c>
      <c r="D403" s="83" t="s">
        <v>1445</v>
      </c>
      <c r="E403" s="83"/>
      <c r="F403" s="83"/>
      <c r="G403" s="8" t="s">
        <v>20</v>
      </c>
      <c r="H403" s="269" t="s">
        <v>1625</v>
      </c>
      <c r="I403" s="358">
        <v>490.75299999999999</v>
      </c>
      <c r="J403" s="4" t="s">
        <v>1611</v>
      </c>
      <c r="K403" s="83"/>
      <c r="L403" s="359"/>
      <c r="M403" s="83"/>
      <c r="N403" s="83"/>
      <c r="O403" s="83"/>
      <c r="P403" s="83" t="s">
        <v>238</v>
      </c>
      <c r="Q403" s="251"/>
      <c r="R403" s="343"/>
    </row>
    <row r="404" spans="1:18" s="343" customFormat="1" x14ac:dyDescent="0.25">
      <c r="A404" s="83">
        <v>2025</v>
      </c>
      <c r="B404" s="369">
        <v>293</v>
      </c>
      <c r="C404" s="83" t="s">
        <v>1420</v>
      </c>
      <c r="D404" s="83" t="s">
        <v>1446</v>
      </c>
      <c r="E404" s="83"/>
      <c r="F404" s="83"/>
      <c r="G404" s="8" t="s">
        <v>20</v>
      </c>
      <c r="H404" s="357">
        <v>202519174051</v>
      </c>
      <c r="I404" s="358">
        <v>363</v>
      </c>
      <c r="J404" s="4" t="s">
        <v>1611</v>
      </c>
      <c r="K404" s="83"/>
      <c r="L404" s="359"/>
      <c r="M404" s="83"/>
      <c r="N404" s="83"/>
      <c r="O404" s="83"/>
      <c r="P404" s="83" t="s">
        <v>238</v>
      </c>
      <c r="Q404" s="335"/>
    </row>
    <row r="405" spans="1:18" x14ac:dyDescent="0.25">
      <c r="A405" s="8">
        <v>2025</v>
      </c>
      <c r="B405" s="369">
        <v>294</v>
      </c>
      <c r="C405" s="83" t="s">
        <v>1421</v>
      </c>
      <c r="D405" s="83" t="s">
        <v>1447</v>
      </c>
      <c r="E405" s="83"/>
      <c r="F405" s="83"/>
      <c r="G405" s="8" t="s">
        <v>20</v>
      </c>
      <c r="H405" s="357">
        <v>202519186957</v>
      </c>
      <c r="I405" s="358">
        <v>1835.1959999999999</v>
      </c>
      <c r="J405" s="4" t="s">
        <v>1618</v>
      </c>
      <c r="K405" s="83"/>
      <c r="L405" s="359">
        <v>45994</v>
      </c>
      <c r="M405" s="83"/>
      <c r="N405" s="83"/>
      <c r="O405" s="83"/>
      <c r="P405" s="83" t="s">
        <v>238</v>
      </c>
      <c r="Q405" s="342"/>
      <c r="R405" s="343"/>
    </row>
    <row r="406" spans="1:18" x14ac:dyDescent="0.25">
      <c r="A406" s="6">
        <v>2025</v>
      </c>
      <c r="B406" s="334">
        <v>295</v>
      </c>
      <c r="C406" s="81" t="s">
        <v>1422</v>
      </c>
      <c r="D406" s="81" t="s">
        <v>1448</v>
      </c>
      <c r="E406" s="81"/>
      <c r="F406" s="81"/>
      <c r="G406" s="6" t="s">
        <v>20</v>
      </c>
      <c r="H406" s="442" t="s">
        <v>1493</v>
      </c>
      <c r="I406" s="326">
        <v>11360</v>
      </c>
      <c r="J406" s="4" t="s">
        <v>1611</v>
      </c>
      <c r="K406" s="81"/>
      <c r="L406" s="84"/>
      <c r="M406" s="81"/>
      <c r="N406" s="81"/>
      <c r="O406" s="81"/>
      <c r="P406" s="81" t="s">
        <v>621</v>
      </c>
      <c r="Q406" s="251"/>
    </row>
    <row r="407" spans="1:18" x14ac:dyDescent="0.25">
      <c r="A407" s="11">
        <v>2025</v>
      </c>
      <c r="B407" s="370">
        <v>296</v>
      </c>
      <c r="C407" s="213" t="s">
        <v>1423</v>
      </c>
      <c r="D407" s="213" t="s">
        <v>1449</v>
      </c>
      <c r="E407" s="213"/>
      <c r="F407" s="213"/>
      <c r="G407" s="213"/>
      <c r="H407" s="187"/>
      <c r="I407" s="332"/>
      <c r="J407" s="4" t="s">
        <v>1611</v>
      </c>
      <c r="K407" s="213"/>
      <c r="L407" s="289"/>
      <c r="M407" s="213"/>
      <c r="N407" s="213"/>
      <c r="O407" s="213"/>
      <c r="P407" s="213" t="s">
        <v>54</v>
      </c>
      <c r="Q407" s="251"/>
      <c r="R407" s="238"/>
    </row>
    <row r="408" spans="1:18" s="343" customFormat="1" x14ac:dyDescent="0.25">
      <c r="A408" s="6">
        <v>2025</v>
      </c>
      <c r="B408" s="334">
        <v>297</v>
      </c>
      <c r="C408" s="81" t="s">
        <v>1362</v>
      </c>
      <c r="D408" s="81" t="s">
        <v>1368</v>
      </c>
      <c r="E408" s="81"/>
      <c r="F408" s="81"/>
      <c r="G408" s="81" t="s">
        <v>1369</v>
      </c>
      <c r="H408" s="269" t="s">
        <v>1492</v>
      </c>
      <c r="I408" s="326">
        <v>350</v>
      </c>
      <c r="J408" s="4" t="s">
        <v>1618</v>
      </c>
      <c r="K408" s="81"/>
      <c r="L408" s="84"/>
      <c r="M408" s="81"/>
      <c r="N408" s="81"/>
      <c r="O408" s="81"/>
      <c r="P408" s="81" t="s">
        <v>621</v>
      </c>
      <c r="Q408" s="335"/>
      <c r="R408" s="82"/>
    </row>
    <row r="409" spans="1:18" x14ac:dyDescent="0.25">
      <c r="A409" s="81">
        <v>2025</v>
      </c>
      <c r="B409" s="334">
        <v>298</v>
      </c>
      <c r="C409" s="81" t="s">
        <v>1363</v>
      </c>
      <c r="D409" s="81" t="s">
        <v>1370</v>
      </c>
      <c r="E409" s="81"/>
      <c r="F409" s="81"/>
      <c r="G409" s="81" t="s">
        <v>1496</v>
      </c>
      <c r="H409" s="85"/>
      <c r="I409" s="326"/>
      <c r="J409" s="4" t="s">
        <v>1611</v>
      </c>
      <c r="K409" s="81"/>
      <c r="L409" s="84"/>
      <c r="M409" s="81"/>
      <c r="N409" s="81"/>
      <c r="O409" s="81"/>
      <c r="P409" s="81" t="s">
        <v>621</v>
      </c>
      <c r="Q409" s="251"/>
    </row>
    <row r="410" spans="1:18" x14ac:dyDescent="0.25">
      <c r="A410" s="6">
        <v>2025</v>
      </c>
      <c r="B410" s="334">
        <v>299</v>
      </c>
      <c r="C410" s="81" t="s">
        <v>1364</v>
      </c>
      <c r="D410" s="81" t="s">
        <v>1371</v>
      </c>
      <c r="E410" s="81"/>
      <c r="F410" s="81"/>
      <c r="G410" s="81" t="s">
        <v>1367</v>
      </c>
      <c r="H410" s="269" t="s">
        <v>1491</v>
      </c>
      <c r="I410" s="326">
        <v>13168</v>
      </c>
      <c r="J410" s="4" t="s">
        <v>1611</v>
      </c>
      <c r="K410" s="81"/>
      <c r="L410" s="84"/>
      <c r="M410" s="81"/>
      <c r="N410" s="81"/>
      <c r="O410" s="81"/>
      <c r="P410" s="81" t="s">
        <v>621</v>
      </c>
      <c r="Q410" s="251"/>
    </row>
    <row r="411" spans="1:18" x14ac:dyDescent="0.25">
      <c r="A411" s="6">
        <v>2025</v>
      </c>
      <c r="B411" s="334">
        <v>300</v>
      </c>
      <c r="C411" s="81" t="s">
        <v>1365</v>
      </c>
      <c r="D411" s="81" t="s">
        <v>1372</v>
      </c>
      <c r="E411" s="81"/>
      <c r="F411" s="81"/>
      <c r="G411" s="81" t="s">
        <v>1464</v>
      </c>
      <c r="H411" s="269" t="s">
        <v>1490</v>
      </c>
      <c r="I411" s="326"/>
      <c r="J411" s="4" t="s">
        <v>1611</v>
      </c>
      <c r="K411" s="81"/>
      <c r="L411" s="84"/>
      <c r="M411" s="81"/>
      <c r="N411" s="81"/>
      <c r="O411" s="81"/>
      <c r="P411" s="81" t="s">
        <v>621</v>
      </c>
      <c r="Q411" s="335"/>
    </row>
    <row r="412" spans="1:18" x14ac:dyDescent="0.25">
      <c r="A412" s="6">
        <v>2025</v>
      </c>
      <c r="B412" s="334">
        <v>301</v>
      </c>
      <c r="C412" s="81" t="s">
        <v>1424</v>
      </c>
      <c r="D412" s="81" t="s">
        <v>1460</v>
      </c>
      <c r="E412" s="81"/>
      <c r="F412" s="81"/>
      <c r="G412" s="81" t="s">
        <v>1367</v>
      </c>
      <c r="H412" s="274">
        <v>202519220274</v>
      </c>
      <c r="I412" s="326">
        <v>1740.2</v>
      </c>
      <c r="J412" s="4" t="s">
        <v>1611</v>
      </c>
      <c r="K412" s="81"/>
      <c r="L412" s="84">
        <v>46002</v>
      </c>
      <c r="M412" s="81"/>
      <c r="N412" s="81"/>
      <c r="O412" s="81"/>
      <c r="P412" s="81" t="s">
        <v>54</v>
      </c>
      <c r="Q412" s="251"/>
    </row>
    <row r="413" spans="1:18" x14ac:dyDescent="0.25">
      <c r="A413" s="8">
        <v>2025</v>
      </c>
      <c r="B413" s="369">
        <v>302</v>
      </c>
      <c r="C413" s="83" t="s">
        <v>1425</v>
      </c>
      <c r="D413" s="83" t="s">
        <v>1461</v>
      </c>
      <c r="E413" s="83"/>
      <c r="F413" s="83"/>
      <c r="G413" s="81" t="s">
        <v>1464</v>
      </c>
      <c r="H413" s="83"/>
      <c r="I413" s="358"/>
      <c r="J413" s="83" t="s">
        <v>1611</v>
      </c>
      <c r="K413" s="83"/>
      <c r="L413" s="359"/>
      <c r="M413" s="83"/>
      <c r="N413" s="83"/>
      <c r="O413" s="83"/>
      <c r="P413" s="83" t="s">
        <v>238</v>
      </c>
      <c r="Q413" s="251"/>
      <c r="R413" s="343" t="s">
        <v>1520</v>
      </c>
    </row>
    <row r="414" spans="1:18" x14ac:dyDescent="0.25">
      <c r="A414" s="83">
        <v>2025</v>
      </c>
      <c r="B414" s="369">
        <v>303</v>
      </c>
      <c r="C414" s="83" t="s">
        <v>1426</v>
      </c>
      <c r="D414" s="83" t="s">
        <v>1462</v>
      </c>
      <c r="E414" s="83"/>
      <c r="F414" s="83"/>
      <c r="G414" s="83" t="s">
        <v>1369</v>
      </c>
      <c r="H414" s="390">
        <v>202519248791</v>
      </c>
      <c r="I414" s="358">
        <v>3869.7869999999998</v>
      </c>
      <c r="J414" s="4" t="s">
        <v>1618</v>
      </c>
      <c r="K414" s="83"/>
      <c r="L414" s="359">
        <v>46006</v>
      </c>
      <c r="M414" s="83"/>
      <c r="N414" s="83"/>
      <c r="O414" s="83"/>
      <c r="P414" s="83" t="s">
        <v>238</v>
      </c>
      <c r="Q414" s="342"/>
      <c r="R414" s="343"/>
    </row>
    <row r="415" spans="1:18" x14ac:dyDescent="0.25">
      <c r="A415" s="6">
        <v>2025</v>
      </c>
      <c r="B415" s="334">
        <v>304</v>
      </c>
      <c r="C415" s="81" t="s">
        <v>1427</v>
      </c>
      <c r="D415" s="81" t="s">
        <v>1463</v>
      </c>
      <c r="E415" s="81"/>
      <c r="F415" s="81"/>
      <c r="G415" s="81" t="s">
        <v>1510</v>
      </c>
      <c r="H415" s="85"/>
      <c r="I415" s="326"/>
      <c r="J415" s="4" t="s">
        <v>1611</v>
      </c>
      <c r="K415" s="81"/>
      <c r="L415" s="84"/>
      <c r="M415" s="81"/>
      <c r="N415" s="81"/>
      <c r="O415" s="81"/>
      <c r="P415" s="81" t="s">
        <v>54</v>
      </c>
      <c r="Q415" s="251"/>
    </row>
    <row r="416" spans="1:18" s="343" customFormat="1" x14ac:dyDescent="0.25">
      <c r="A416" s="8">
        <v>2025</v>
      </c>
      <c r="B416" s="369">
        <v>305</v>
      </c>
      <c r="C416" s="83" t="s">
        <v>1428</v>
      </c>
      <c r="D416" s="83" t="s">
        <v>1465</v>
      </c>
      <c r="E416" s="83"/>
      <c r="F416" s="83"/>
      <c r="G416" s="81" t="s">
        <v>1464</v>
      </c>
      <c r="H416" s="447"/>
      <c r="I416" s="358"/>
      <c r="J416" s="83" t="s">
        <v>1611</v>
      </c>
      <c r="K416" s="83"/>
      <c r="L416" s="359"/>
      <c r="M416" s="83"/>
      <c r="N416" s="83"/>
      <c r="O416" s="83"/>
      <c r="P416" s="83" t="s">
        <v>238</v>
      </c>
      <c r="Q416" s="251"/>
      <c r="R416" s="343" t="s">
        <v>1520</v>
      </c>
    </row>
    <row r="417" spans="1:18" s="343" customFormat="1" x14ac:dyDescent="0.25">
      <c r="A417" s="6">
        <v>2025</v>
      </c>
      <c r="B417" s="334">
        <v>306</v>
      </c>
      <c r="C417" s="81" t="s">
        <v>1429</v>
      </c>
      <c r="D417" s="81" t="s">
        <v>1466</v>
      </c>
      <c r="E417" s="81"/>
      <c r="F417" s="81"/>
      <c r="G417" s="81" t="s">
        <v>1511</v>
      </c>
      <c r="H417" s="441"/>
      <c r="I417" s="326"/>
      <c r="J417" s="4" t="s">
        <v>1611</v>
      </c>
      <c r="K417" s="81"/>
      <c r="L417" s="84"/>
      <c r="M417" s="81"/>
      <c r="N417" s="81"/>
      <c r="O417" s="81"/>
      <c r="P417" s="81" t="s">
        <v>54</v>
      </c>
      <c r="Q417" s="335"/>
      <c r="R417" s="82"/>
    </row>
    <row r="418" spans="1:18" x14ac:dyDescent="0.25">
      <c r="A418" s="6">
        <v>2025</v>
      </c>
      <c r="B418" s="334">
        <v>307</v>
      </c>
      <c r="C418" s="81" t="s">
        <v>1430</v>
      </c>
      <c r="D418" s="81" t="s">
        <v>1467</v>
      </c>
      <c r="E418" s="81"/>
      <c r="F418" s="81"/>
      <c r="G418" s="81" t="s">
        <v>629</v>
      </c>
      <c r="H418" s="274">
        <v>202519229804</v>
      </c>
      <c r="I418" s="326">
        <v>3982</v>
      </c>
      <c r="J418" s="4" t="s">
        <v>1611</v>
      </c>
      <c r="K418" s="81"/>
      <c r="L418" s="84">
        <v>46006</v>
      </c>
      <c r="M418" s="81"/>
      <c r="N418" s="81"/>
      <c r="O418" s="81"/>
      <c r="P418" s="81" t="s">
        <v>54</v>
      </c>
      <c r="Q418" s="251"/>
    </row>
    <row r="419" spans="1:18" s="343" customFormat="1" ht="15" customHeight="1" x14ac:dyDescent="0.25">
      <c r="A419" s="81">
        <v>2025</v>
      </c>
      <c r="B419" s="334">
        <v>308</v>
      </c>
      <c r="C419" s="81" t="s">
        <v>1431</v>
      </c>
      <c r="D419" s="81" t="s">
        <v>1468</v>
      </c>
      <c r="E419" s="81"/>
      <c r="F419" s="81"/>
      <c r="G419" s="6" t="s">
        <v>20</v>
      </c>
      <c r="H419" s="274">
        <v>202519247807</v>
      </c>
      <c r="I419" s="326">
        <v>1035.4860000000001</v>
      </c>
      <c r="J419" s="4" t="s">
        <v>1611</v>
      </c>
      <c r="K419" s="81"/>
      <c r="L419" s="84">
        <v>46011</v>
      </c>
      <c r="M419" s="81"/>
      <c r="N419" s="81"/>
      <c r="O419" s="81"/>
      <c r="P419" s="81" t="s">
        <v>54</v>
      </c>
      <c r="Q419" s="251"/>
      <c r="R419" s="82"/>
    </row>
    <row r="420" spans="1:18" ht="15" customHeight="1" x14ac:dyDescent="0.25">
      <c r="A420" s="6">
        <v>2025</v>
      </c>
      <c r="B420" s="334">
        <v>309</v>
      </c>
      <c r="C420" s="81" t="s">
        <v>1432</v>
      </c>
      <c r="D420" s="81" t="s">
        <v>1469</v>
      </c>
      <c r="E420" s="81"/>
      <c r="F420" s="81"/>
      <c r="G420" s="81" t="s">
        <v>1470</v>
      </c>
      <c r="H420" s="274">
        <v>202519248007</v>
      </c>
      <c r="I420" s="326">
        <v>697.4</v>
      </c>
      <c r="J420" s="4" t="s">
        <v>1611</v>
      </c>
      <c r="K420" s="81"/>
      <c r="L420" s="84">
        <v>46014</v>
      </c>
      <c r="M420" s="81"/>
      <c r="N420" s="81"/>
      <c r="O420" s="81"/>
      <c r="P420" s="81" t="s">
        <v>54</v>
      </c>
      <c r="Q420" s="251"/>
    </row>
    <row r="421" spans="1:18" ht="14.45" customHeight="1" x14ac:dyDescent="0.25">
      <c r="A421" s="6">
        <v>2025</v>
      </c>
      <c r="B421" s="334">
        <v>310</v>
      </c>
      <c r="C421" s="81" t="s">
        <v>1433</v>
      </c>
      <c r="D421" s="81" t="s">
        <v>1471</v>
      </c>
      <c r="E421" s="81"/>
      <c r="F421" s="81"/>
      <c r="G421" s="81" t="s">
        <v>1472</v>
      </c>
      <c r="H421" s="85"/>
      <c r="I421" s="326"/>
      <c r="J421" s="4" t="s">
        <v>1622</v>
      </c>
      <c r="K421" s="81" t="s">
        <v>285</v>
      </c>
      <c r="L421" s="84"/>
      <c r="M421" s="81"/>
      <c r="N421" s="81"/>
      <c r="O421" s="81"/>
      <c r="P421" s="81" t="s">
        <v>54</v>
      </c>
      <c r="Q421" s="251"/>
    </row>
    <row r="422" spans="1:18" x14ac:dyDescent="0.25">
      <c r="A422" s="6">
        <v>2025</v>
      </c>
      <c r="B422" s="334">
        <v>311</v>
      </c>
      <c r="C422" s="81" t="s">
        <v>1434</v>
      </c>
      <c r="D422" s="81" t="s">
        <v>1473</v>
      </c>
      <c r="E422" s="81"/>
      <c r="F422" s="81"/>
      <c r="G422" s="81" t="s">
        <v>629</v>
      </c>
      <c r="H422" s="85"/>
      <c r="I422" s="326">
        <v>5253.6</v>
      </c>
      <c r="J422" s="4" t="s">
        <v>1611</v>
      </c>
      <c r="K422" s="81"/>
      <c r="L422" s="84"/>
      <c r="M422" s="81"/>
      <c r="N422" s="81"/>
      <c r="O422" s="81"/>
      <c r="P422" s="81" t="s">
        <v>54</v>
      </c>
      <c r="Q422" s="251"/>
    </row>
    <row r="423" spans="1:18" x14ac:dyDescent="0.25">
      <c r="A423" s="6">
        <v>2025</v>
      </c>
      <c r="B423" s="334">
        <v>312</v>
      </c>
      <c r="C423" s="81" t="s">
        <v>1450</v>
      </c>
      <c r="D423" s="81" t="s">
        <v>1474</v>
      </c>
      <c r="E423" s="81"/>
      <c r="F423" s="81"/>
      <c r="G423" s="81" t="s">
        <v>629</v>
      </c>
      <c r="H423" s="85"/>
      <c r="I423" s="443">
        <v>235.6</v>
      </c>
      <c r="J423" s="4" t="s">
        <v>1611</v>
      </c>
      <c r="K423" s="81"/>
      <c r="L423" s="84"/>
      <c r="M423" s="81"/>
      <c r="N423" s="81"/>
      <c r="O423" s="81"/>
      <c r="P423" s="81" t="s">
        <v>54</v>
      </c>
      <c r="Q423" s="251"/>
    </row>
    <row r="424" spans="1:18" x14ac:dyDescent="0.25">
      <c r="A424" s="83">
        <v>2025</v>
      </c>
      <c r="B424" s="369">
        <v>313</v>
      </c>
      <c r="C424" s="83" t="s">
        <v>1451</v>
      </c>
      <c r="D424" s="83" t="s">
        <v>1475</v>
      </c>
      <c r="E424" s="83"/>
      <c r="F424" s="83"/>
      <c r="G424" s="83" t="s">
        <v>1521</v>
      </c>
      <c r="H424" s="357"/>
      <c r="I424" s="358"/>
      <c r="J424" s="83" t="s">
        <v>1611</v>
      </c>
      <c r="K424" s="83"/>
      <c r="L424" s="359"/>
      <c r="M424" s="83"/>
      <c r="N424" s="83"/>
      <c r="O424" s="83"/>
      <c r="P424" s="83" t="s">
        <v>238</v>
      </c>
      <c r="Q424" s="335" t="s">
        <v>1600</v>
      </c>
      <c r="R424" s="343"/>
    </row>
    <row r="425" spans="1:18" x14ac:dyDescent="0.25">
      <c r="A425" s="6">
        <v>2025</v>
      </c>
      <c r="B425" s="334">
        <v>314</v>
      </c>
      <c r="C425" s="81" t="s">
        <v>1452</v>
      </c>
      <c r="D425" s="81" t="s">
        <v>1476</v>
      </c>
      <c r="E425" s="81"/>
      <c r="F425" s="81"/>
      <c r="G425" s="81" t="s">
        <v>1477</v>
      </c>
      <c r="H425" s="274">
        <v>202519241094</v>
      </c>
      <c r="I425" s="326"/>
      <c r="J425" s="4" t="s">
        <v>1611</v>
      </c>
      <c r="K425" s="81"/>
      <c r="L425" s="84"/>
      <c r="M425" s="81"/>
      <c r="N425" s="81"/>
      <c r="O425" s="81"/>
      <c r="P425" s="81" t="s">
        <v>54</v>
      </c>
      <c r="Q425" s="251"/>
    </row>
    <row r="426" spans="1:18" x14ac:dyDescent="0.25">
      <c r="A426" s="6">
        <v>2025</v>
      </c>
      <c r="B426" s="334">
        <v>315</v>
      </c>
      <c r="C426" s="81" t="s">
        <v>1453</v>
      </c>
      <c r="D426" s="81" t="s">
        <v>1478</v>
      </c>
      <c r="E426" s="81"/>
      <c r="F426" s="81"/>
      <c r="G426" s="6" t="s">
        <v>20</v>
      </c>
      <c r="H426" s="269" t="s">
        <v>1569</v>
      </c>
      <c r="I426" s="326">
        <v>16296</v>
      </c>
      <c r="J426" s="4" t="s">
        <v>1611</v>
      </c>
      <c r="K426" s="81"/>
      <c r="L426" s="84"/>
      <c r="M426" s="81"/>
      <c r="N426" s="81"/>
      <c r="O426" s="81"/>
      <c r="P426" s="81" t="s">
        <v>621</v>
      </c>
      <c r="Q426" s="251"/>
    </row>
    <row r="427" spans="1:18" x14ac:dyDescent="0.25">
      <c r="A427" s="6">
        <v>2025</v>
      </c>
      <c r="B427" s="334">
        <v>316</v>
      </c>
      <c r="C427" s="81" t="s">
        <v>1454</v>
      </c>
      <c r="D427" s="81" t="s">
        <v>1479</v>
      </c>
      <c r="E427" s="81"/>
      <c r="F427" s="81"/>
      <c r="G427" s="81" t="s">
        <v>1479</v>
      </c>
      <c r="H427" s="274">
        <v>202519256966</v>
      </c>
      <c r="I427" s="326">
        <v>2931.5</v>
      </c>
      <c r="J427" s="4" t="s">
        <v>1611</v>
      </c>
      <c r="K427" s="81"/>
      <c r="L427" s="84"/>
      <c r="M427" s="81"/>
      <c r="N427" s="81"/>
      <c r="O427" s="81"/>
      <c r="P427" s="81" t="s">
        <v>54</v>
      </c>
      <c r="Q427" s="251"/>
    </row>
    <row r="428" spans="1:18" x14ac:dyDescent="0.25">
      <c r="A428" s="6">
        <v>2025</v>
      </c>
      <c r="B428" s="334">
        <v>317</v>
      </c>
      <c r="C428" s="81" t="s">
        <v>1455</v>
      </c>
      <c r="D428" s="81" t="s">
        <v>1480</v>
      </c>
      <c r="E428" s="81"/>
      <c r="F428" s="81"/>
      <c r="G428" s="81" t="s">
        <v>1464</v>
      </c>
      <c r="H428" s="85"/>
      <c r="I428" s="326"/>
      <c r="J428" s="4" t="s">
        <v>1611</v>
      </c>
      <c r="K428" s="81"/>
      <c r="L428" s="84"/>
      <c r="M428" s="81"/>
      <c r="N428" s="81"/>
      <c r="O428" s="81"/>
      <c r="P428" s="81" t="s">
        <v>54</v>
      </c>
      <c r="Q428" s="251"/>
    </row>
    <row r="429" spans="1:18" x14ac:dyDescent="0.25">
      <c r="A429" s="81">
        <v>2025</v>
      </c>
      <c r="B429" s="334">
        <v>318</v>
      </c>
      <c r="C429" s="81" t="s">
        <v>1456</v>
      </c>
      <c r="D429" s="81" t="s">
        <v>1481</v>
      </c>
      <c r="E429" s="81"/>
      <c r="F429" s="81"/>
      <c r="G429" s="81" t="s">
        <v>1482</v>
      </c>
      <c r="H429" s="85"/>
      <c r="I429" s="326"/>
      <c r="J429" s="4" t="s">
        <v>1622</v>
      </c>
      <c r="K429" s="81" t="s">
        <v>106</v>
      </c>
      <c r="L429" s="84"/>
      <c r="M429" s="81"/>
      <c r="N429" s="81"/>
      <c r="O429" s="81"/>
      <c r="P429" s="81" t="s">
        <v>54</v>
      </c>
      <c r="Q429" s="251"/>
    </row>
    <row r="430" spans="1:18" x14ac:dyDescent="0.25">
      <c r="A430" s="6">
        <v>2025</v>
      </c>
      <c r="B430" s="334">
        <v>319</v>
      </c>
      <c r="C430" s="81" t="s">
        <v>1457</v>
      </c>
      <c r="D430" s="81" t="s">
        <v>1483</v>
      </c>
      <c r="E430" s="81"/>
      <c r="F430" s="81"/>
      <c r="G430" s="81" t="s">
        <v>1512</v>
      </c>
      <c r="H430" s="85"/>
      <c r="I430" s="326"/>
      <c r="J430" s="4" t="s">
        <v>1611</v>
      </c>
      <c r="K430" s="81"/>
      <c r="L430" s="84"/>
      <c r="M430" s="81"/>
      <c r="N430" s="81"/>
      <c r="O430" s="81"/>
      <c r="P430" s="81" t="s">
        <v>54</v>
      </c>
      <c r="Q430" s="251"/>
    </row>
    <row r="431" spans="1:18" x14ac:dyDescent="0.25">
      <c r="A431" s="8">
        <v>2025</v>
      </c>
      <c r="B431" s="369">
        <v>320</v>
      </c>
      <c r="C431" s="83" t="s">
        <v>1458</v>
      </c>
      <c r="D431" s="83" t="s">
        <v>1484</v>
      </c>
      <c r="E431" s="83"/>
      <c r="F431" s="83"/>
      <c r="G431" s="83" t="s">
        <v>1522</v>
      </c>
      <c r="H431" s="357"/>
      <c r="I431" s="358"/>
      <c r="J431" s="83" t="s">
        <v>1611</v>
      </c>
      <c r="K431" s="83"/>
      <c r="L431" s="359"/>
      <c r="M431" s="83"/>
      <c r="N431" s="83"/>
      <c r="O431" s="83"/>
      <c r="P431" s="83" t="s">
        <v>238</v>
      </c>
      <c r="Q431" s="342"/>
      <c r="R431" s="343" t="s">
        <v>1523</v>
      </c>
    </row>
    <row r="432" spans="1:18" x14ac:dyDescent="0.25">
      <c r="A432" s="8">
        <v>2025</v>
      </c>
      <c r="B432" s="369">
        <v>321</v>
      </c>
      <c r="C432" s="83" t="s">
        <v>1459</v>
      </c>
      <c r="D432" s="83" t="s">
        <v>1485</v>
      </c>
      <c r="E432" s="83"/>
      <c r="F432" s="83"/>
      <c r="G432" s="83" t="s">
        <v>1522</v>
      </c>
      <c r="H432" s="357"/>
      <c r="I432" s="358"/>
      <c r="J432" s="83" t="s">
        <v>1611</v>
      </c>
      <c r="K432" s="83"/>
      <c r="L432" s="359"/>
      <c r="M432" s="83"/>
      <c r="N432" s="83"/>
      <c r="O432" s="83"/>
      <c r="P432" s="83" t="s">
        <v>238</v>
      </c>
      <c r="Q432" s="449"/>
      <c r="R432" s="343" t="s">
        <v>1523</v>
      </c>
    </row>
    <row r="433" spans="1:17" x14ac:dyDescent="0.25">
      <c r="A433" s="81">
        <v>2025</v>
      </c>
      <c r="B433" s="334">
        <v>322</v>
      </c>
      <c r="C433" s="81" t="s">
        <v>1373</v>
      </c>
      <c r="D433" s="81" t="s">
        <v>1374</v>
      </c>
      <c r="E433" s="81"/>
      <c r="F433" s="81"/>
      <c r="G433" s="81" t="s">
        <v>1367</v>
      </c>
      <c r="H433" s="338" t="s">
        <v>1489</v>
      </c>
      <c r="I433" s="326">
        <v>1085</v>
      </c>
      <c r="J433" s="4" t="s">
        <v>1611</v>
      </c>
      <c r="K433" s="81"/>
      <c r="L433" s="84">
        <v>46022</v>
      </c>
      <c r="M433" s="81"/>
      <c r="N433" s="81"/>
      <c r="O433" s="81"/>
      <c r="P433" s="81" t="s">
        <v>621</v>
      </c>
      <c r="Q433" s="251"/>
    </row>
    <row r="434" spans="1:17" s="343" customFormat="1" x14ac:dyDescent="0.25">
      <c r="A434" s="8">
        <v>2025</v>
      </c>
      <c r="B434" s="83" t="s">
        <v>1516</v>
      </c>
      <c r="C434" s="83" t="s">
        <v>1239</v>
      </c>
      <c r="D434" s="83" t="s">
        <v>1313</v>
      </c>
      <c r="E434" s="371" t="s">
        <v>1313</v>
      </c>
      <c r="F434" s="83" t="s">
        <v>27</v>
      </c>
      <c r="G434" s="8" t="s">
        <v>20</v>
      </c>
      <c r="H434" s="367">
        <v>2005183356</v>
      </c>
      <c r="I434" s="358">
        <v>15850.45</v>
      </c>
      <c r="J434" s="4" t="s">
        <v>1618</v>
      </c>
      <c r="K434" s="83"/>
      <c r="L434" s="359">
        <v>45910</v>
      </c>
      <c r="M434" s="371"/>
      <c r="N434" s="83"/>
      <c r="O434" s="363" t="s">
        <v>133</v>
      </c>
      <c r="P434" s="83" t="s">
        <v>238</v>
      </c>
      <c r="Q434" s="342"/>
    </row>
    <row r="435" spans="1:17" s="343" customFormat="1" x14ac:dyDescent="0.25">
      <c r="A435" s="8"/>
      <c r="B435" s="83" t="s">
        <v>1517</v>
      </c>
      <c r="C435" s="83"/>
      <c r="D435" s="83"/>
      <c r="E435" s="371"/>
      <c r="F435" s="83"/>
      <c r="G435" s="8" t="s">
        <v>20</v>
      </c>
      <c r="H435" s="367">
        <v>2005196068</v>
      </c>
      <c r="I435" s="358" t="s">
        <v>1518</v>
      </c>
      <c r="J435" s="4" t="s">
        <v>1611</v>
      </c>
      <c r="K435" s="83"/>
      <c r="L435" s="359">
        <v>45910</v>
      </c>
      <c r="M435" s="371"/>
      <c r="N435" s="83"/>
      <c r="O435" s="363" t="s">
        <v>133</v>
      </c>
      <c r="P435" s="83"/>
      <c r="Q435" s="251" t="s">
        <v>1594</v>
      </c>
    </row>
    <row r="436" spans="1:17" x14ac:dyDescent="0.25">
      <c r="A436" s="6"/>
      <c r="B436" s="81"/>
      <c r="C436" s="81" t="s">
        <v>1526</v>
      </c>
      <c r="D436" s="81"/>
      <c r="E436" s="336"/>
      <c r="F436" s="81"/>
      <c r="G436" s="11" t="s">
        <v>20</v>
      </c>
      <c r="H436" s="374" t="s">
        <v>1571</v>
      </c>
      <c r="I436" s="326">
        <v>5262</v>
      </c>
      <c r="J436" s="4" t="s">
        <v>1618</v>
      </c>
      <c r="K436" s="81"/>
      <c r="L436" s="84">
        <v>45942</v>
      </c>
      <c r="M436" s="336"/>
      <c r="N436" s="81"/>
      <c r="O436" s="22" t="s">
        <v>133</v>
      </c>
      <c r="P436" s="81"/>
      <c r="Q436" s="251"/>
    </row>
  </sheetData>
  <autoFilter ref="A1:R436" xr:uid="{29C58E04-4924-4A95-BA25-D40810D1907D}">
    <sortState xmlns:xlrd2="http://schemas.microsoft.com/office/spreadsheetml/2017/richdata2" ref="A2:R436">
      <sortCondition ref="A1:A436"/>
    </sortState>
  </autoFilter>
  <phoneticPr fontId="21" type="noConversion"/>
  <conditionalFormatting sqref="A1:C1 E1:O1 E2:P22 K23:N23 P23 E23:J25 K24:P25 E93:I94 K93:P94">
    <cfRule type="expression" dxfId="109" priority="496">
      <formula>CELL("merged",A1:P199)</formula>
    </cfRule>
  </conditionalFormatting>
  <conditionalFormatting sqref="D1:D25 D93:D94">
    <cfRule type="expression" dxfId="108" priority="464">
      <formula>CELL("merged",D1:R199)</formula>
    </cfRule>
  </conditionalFormatting>
  <conditionalFormatting sqref="D26:D61 D91:D92">
    <cfRule type="expression" dxfId="107" priority="77">
      <formula>CELL("merged",D26:R225)</formula>
    </cfRule>
  </conditionalFormatting>
  <conditionalFormatting sqref="D62:D90">
    <cfRule type="expression" dxfId="106" priority="291">
      <formula>CELL("merged",D62:R262)</formula>
    </cfRule>
  </conditionalFormatting>
  <conditionalFormatting sqref="D95:D96">
    <cfRule type="expression" dxfId="105" priority="560">
      <formula>CELL("merged",D95:R292)</formula>
    </cfRule>
  </conditionalFormatting>
  <conditionalFormatting sqref="D97:D98">
    <cfRule type="expression" dxfId="104" priority="643">
      <formula>CELL("merged",D97:R293)</formula>
    </cfRule>
  </conditionalFormatting>
  <conditionalFormatting sqref="D99:D109 D111:D121 F122:F123 D124:D132 D134">
    <cfRule type="expression" dxfId="103" priority="727">
      <formula>CELL("merged",D99:R294)</formula>
    </cfRule>
  </conditionalFormatting>
  <conditionalFormatting sqref="D133 D135:D136">
    <cfRule type="expression" dxfId="102" priority="1162">
      <formula>CELL("merged",D133:R327)</formula>
    </cfRule>
  </conditionalFormatting>
  <conditionalFormatting sqref="D137:D139">
    <cfRule type="expression" dxfId="101" priority="1419">
      <formula>CELL("merged",D137:R330)</formula>
    </cfRule>
  </conditionalFormatting>
  <conditionalFormatting sqref="D140:D141">
    <cfRule type="expression" dxfId="100" priority="1560">
      <formula>CELL("merged",D140:R332)</formula>
    </cfRule>
  </conditionalFormatting>
  <conditionalFormatting sqref="D142:D143">
    <cfRule type="expression" dxfId="99" priority="1694">
      <formula>CELL("merged",D142:R333)</formula>
    </cfRule>
  </conditionalFormatting>
  <conditionalFormatting sqref="D144:D145">
    <cfRule type="expression" dxfId="98" priority="1700">
      <formula>CELL("merged",D144:R334)</formula>
    </cfRule>
  </conditionalFormatting>
  <conditionalFormatting sqref="D146:D147">
    <cfRule type="expression" dxfId="97" priority="1815">
      <formula>CELL("merged",D146:R335)</formula>
    </cfRule>
  </conditionalFormatting>
  <conditionalFormatting sqref="D148:D149">
    <cfRule type="expression" dxfId="96" priority="1934">
      <formula>CELL("merged",D148:R336)</formula>
    </cfRule>
  </conditionalFormatting>
  <conditionalFormatting sqref="D150">
    <cfRule type="expression" dxfId="95" priority="2187">
      <formula>CELL("merged",D150:R337)</formula>
    </cfRule>
  </conditionalFormatting>
  <conditionalFormatting sqref="D151">
    <cfRule type="expression" dxfId="94" priority="2319">
      <formula>CELL("merged",D151:R337)</formula>
    </cfRule>
  </conditionalFormatting>
  <conditionalFormatting sqref="D152:D153">
    <cfRule type="expression" dxfId="93" priority="4661">
      <formula>CELL("merged",D152:R337)</formula>
    </cfRule>
  </conditionalFormatting>
  <conditionalFormatting sqref="D154:D156">
    <cfRule type="expression" dxfId="92" priority="2454">
      <formula>CELL("merged",D154:R338)</formula>
    </cfRule>
  </conditionalFormatting>
  <conditionalFormatting sqref="D157">
    <cfRule type="expression" dxfId="91" priority="2597">
      <formula>CELL("merged",D157:R340)</formula>
    </cfRule>
  </conditionalFormatting>
  <conditionalFormatting sqref="D158">
    <cfRule type="expression" dxfId="90" priority="2742">
      <formula>CELL("merged",D158:R340)</formula>
    </cfRule>
  </conditionalFormatting>
  <conditionalFormatting sqref="D159:D161">
    <cfRule type="expression" dxfId="89" priority="4663">
      <formula>CELL("merged",D159:R340)</formula>
    </cfRule>
  </conditionalFormatting>
  <conditionalFormatting sqref="D162:D163">
    <cfRule type="expression" dxfId="88" priority="3044">
      <formula>CELL("merged",D162:R342)</formula>
    </cfRule>
  </conditionalFormatting>
  <conditionalFormatting sqref="D164:D165">
    <cfRule type="expression" dxfId="87" priority="3220">
      <formula>CELL("merged",D164:R343)</formula>
    </cfRule>
  </conditionalFormatting>
  <conditionalFormatting sqref="D166:D167">
    <cfRule type="expression" dxfId="86" priority="3338">
      <formula>CELL("merged",D166:R344)</formula>
    </cfRule>
  </conditionalFormatting>
  <conditionalFormatting sqref="D168">
    <cfRule type="expression" dxfId="85" priority="3703">
      <formula>CELL("merged",D168:R345)</formula>
    </cfRule>
  </conditionalFormatting>
  <conditionalFormatting sqref="D169:D177">
    <cfRule type="expression" dxfId="84" priority="4667">
      <formula>CELL("merged",D169:R345)</formula>
    </cfRule>
  </conditionalFormatting>
  <conditionalFormatting sqref="D178:D179">
    <cfRule type="expression" dxfId="83" priority="3854">
      <formula>CELL("merged",D178:R353)</formula>
    </cfRule>
  </conditionalFormatting>
  <conditionalFormatting sqref="E154 H154:I156 K154:N156 P154:P156 E155:F156">
    <cfRule type="expression" dxfId="82" priority="3757">
      <formula>CELL("merged",E154:T338)</formula>
    </cfRule>
  </conditionalFormatting>
  <conditionalFormatting sqref="E95:F95 K95:N95 P95 I95:I96 E96:G96 K96:P96">
    <cfRule type="expression" dxfId="81" priority="578">
      <formula>CELL("merged",E95:T292)</formula>
    </cfRule>
  </conditionalFormatting>
  <conditionalFormatting sqref="E97:F97 I97:I98 K97:P98 E98:G98">
    <cfRule type="expression" dxfId="80" priority="661">
      <formula>CELL("merged",E97:T293)</formula>
    </cfRule>
  </conditionalFormatting>
  <conditionalFormatting sqref="E133:F133 H133:I133 K133:P133 E135:G135 I135 K135:P136 E136:I136">
    <cfRule type="expression" dxfId="79" priority="1567">
      <formula>CELL("merged",E133:T327)</formula>
    </cfRule>
  </conditionalFormatting>
  <conditionalFormatting sqref="E144:F144 H144:I144 K144:N145 P144:P145 E145:I145">
    <cfRule type="expression" dxfId="78" priority="3058">
      <formula>CELL("merged",E144:T334)</formula>
    </cfRule>
  </conditionalFormatting>
  <conditionalFormatting sqref="E157:F157 H157:I157 K157:P157">
    <cfRule type="expression" dxfId="77" priority="2204">
      <formula>CELL("merged",E157:T340)</formula>
    </cfRule>
  </conditionalFormatting>
  <conditionalFormatting sqref="E162:F162 H162:I162 K162:P163 E163:I163 K169 K172">
    <cfRule type="expression" dxfId="76" priority="1846">
      <formula>CELL("merged",E162:T342)</formula>
    </cfRule>
  </conditionalFormatting>
  <conditionalFormatting sqref="E169:F169 L169:P169 E170:I170 K170:N170 P170 E171:F171 H171:I171 K171:P171 F173:F177 O175:P177 P201">
    <cfRule type="expression" dxfId="75" priority="3901">
      <formula>CELL("merged",E169:T345)</formula>
    </cfRule>
  </conditionalFormatting>
  <conditionalFormatting sqref="E137:I139 K137:N139 P137:P139">
    <cfRule type="expression" dxfId="74" priority="3085">
      <formula>CELL("merged",E137:T330)</formula>
    </cfRule>
  </conditionalFormatting>
  <conditionalFormatting sqref="E150:I150 K150:N150 P150">
    <cfRule type="expression" dxfId="73" priority="3210">
      <formula>CELL("merged",E150:T337)</formula>
    </cfRule>
  </conditionalFormatting>
  <conditionalFormatting sqref="E151:I151 K151:N151 P151">
    <cfRule type="expression" dxfId="72" priority="2332">
      <formula>CELL("merged",E151:T337)</formula>
    </cfRule>
  </conditionalFormatting>
  <conditionalFormatting sqref="E152:I152 K152:P152 E153 H153:I153 K153:N153 P153">
    <cfRule type="expression" dxfId="71" priority="2584">
      <formula>CELL("merged",E152:T337)</formula>
    </cfRule>
  </conditionalFormatting>
  <conditionalFormatting sqref="E158:I158 K158:N158 P158 G161">
    <cfRule type="expression" dxfId="70" priority="3616">
      <formula>CELL("merged",E158:T340)</formula>
    </cfRule>
  </conditionalFormatting>
  <conditionalFormatting sqref="E164:I164 K164:P164 E165:F165 H165:I165 K165:N165 P165">
    <cfRule type="expression" dxfId="69" priority="3585">
      <formula>CELL("merged",E164:T343)</formula>
    </cfRule>
  </conditionalFormatting>
  <conditionalFormatting sqref="E166:I167 K166:P167 G183:G186">
    <cfRule type="expression" dxfId="68" priority="4771">
      <formula>CELL("merged",E166:T344)</formula>
    </cfRule>
  </conditionalFormatting>
  <conditionalFormatting sqref="E168:I168 K168:N168 P168">
    <cfRule type="expression" dxfId="67" priority="3221">
      <formula>CELL("merged",E168:T345)</formula>
    </cfRule>
  </conditionalFormatting>
  <conditionalFormatting sqref="F153:F154">
    <cfRule type="expression" dxfId="66" priority="4772">
      <formula>CELL("merged",F152:U337)</formula>
    </cfRule>
  </conditionalFormatting>
  <conditionalFormatting sqref="G165 G174 G225 G273 G280 G283 G285 G289 G293 G296 G298 G300 G303 G305 G307 G309 G312 G316 G318 G321:G324 G326:G328">
    <cfRule type="expression" dxfId="65" priority="4758">
      <formula>CELL("merged",G165:V366)</formula>
    </cfRule>
  </conditionalFormatting>
  <conditionalFormatting sqref="G242:G243">
    <cfRule type="expression" dxfId="64" priority="10">
      <formula>CELL("merged",G242:V443)</formula>
    </cfRule>
  </conditionalFormatting>
  <conditionalFormatting sqref="G372 G374:G376">
    <cfRule type="expression" dxfId="63" priority="4983">
      <formula>CELL("merged",G370:V569)</formula>
    </cfRule>
  </conditionalFormatting>
  <conditionalFormatting sqref="G377">
    <cfRule type="expression" dxfId="62" priority="4984">
      <formula>CELL("merged",G374:V573)</formula>
    </cfRule>
  </conditionalFormatting>
  <conditionalFormatting sqref="G381 G383:G385 G394 G396:G397 G399 G401 G404:G409 G422 G429">
    <cfRule type="expression" dxfId="61" priority="4350">
      <formula>CELL("merged",G379:V577)</formula>
    </cfRule>
  </conditionalFormatting>
  <conditionalFormatting sqref="G387">
    <cfRule type="expression" dxfId="60" priority="13">
      <formula>CELL("merged",G385:V583)</formula>
    </cfRule>
  </conditionalFormatting>
  <conditionalFormatting sqref="H80 H84 H86">
    <cfRule type="expression" dxfId="59" priority="4407">
      <formula>CELL("merged",H79:W279)</formula>
    </cfRule>
  </conditionalFormatting>
  <conditionalFormatting sqref="H87 H89 H91 H95:H104 E99:F99 K99:P99 I99:I104 K100:N100 P100 E100:G104 K101:P111 E105:I107 E108:H109 I108:I110 D110:H110 E111:I121 K112:N112 P112 K113:P119 K120:L120 P120 K121:P121 G122:I123 K122:R123 E124:F125 H124:I125 K124:P125 K126:N127 P126:P127 E126:I128 K128:P128 E129:F129 H129:I129 K129:N130 P129:P130 E130:I130 E131:F132 H131:I132 K131:P132 E134:I134 K134:P134">
    <cfRule type="expression" dxfId="58" priority="111">
      <formula>CELL("merged",D87:S282)</formula>
    </cfRule>
  </conditionalFormatting>
  <conditionalFormatting sqref="J26:J392">
    <cfRule type="expression" dxfId="57" priority="1">
      <formula>CELL("merged",J26:Y224)</formula>
    </cfRule>
  </conditionalFormatting>
  <conditionalFormatting sqref="J394:J397 J399 J401:J415 J417:J418 J420:J426 J428:J433 J436">
    <cfRule type="expression" dxfId="56" priority="2">
      <formula>CELL("merged",J394:Y592)</formula>
    </cfRule>
  </conditionalFormatting>
  <conditionalFormatting sqref="K140:N140 P140 E140:I141 K141:P141">
    <cfRule type="expression" dxfId="55" priority="4696">
      <formula>CELL("merged",E140:T332)</formula>
    </cfRule>
  </conditionalFormatting>
  <conditionalFormatting sqref="K146:N146 P146 E146:I147 K147:P147">
    <cfRule type="expression" dxfId="54" priority="2903">
      <formula>CELL("merged",E146:T335)</formula>
    </cfRule>
  </conditionalFormatting>
  <conditionalFormatting sqref="K159:N159 P159 E159:I160 K160:P161 E161:F161 H161:I161">
    <cfRule type="expression" dxfId="53" priority="2075">
      <formula>CELL("merged",E159:T340)</formula>
    </cfRule>
  </conditionalFormatting>
  <conditionalFormatting sqref="K26:P26 E26:I61 K27:N27 P27 K28:K29 M28:P29 K30:P31 K32:N32 P32 K33:P34 K35:N35 P35 K36:P61 O68 E91:G91 I91 K91:P92 G91:G93 E92:I92 G95 G97 G99 G124:G125 G367:G369">
    <cfRule type="expression" dxfId="52" priority="250">
      <formula>CELL("merged",E26:T225)</formula>
    </cfRule>
  </conditionalFormatting>
  <conditionalFormatting sqref="K62:P67 E62:I78 K68:N68 P68:P69 K69:L69 N69 K70:P70 K71:L71 N71 P71 K72:P90 H79 E79:G80 I79:I80 E81:I83 E84:G84 I84 E85:I85 E86:G87 I86:I87 E88:I88 E89:G89 I89 E90:I90 G129 G131:G133 G144 G153:G157 G162 G334:G335 G337 G339:G341 G343 G345 G349 G357:G358 G362">
    <cfRule type="expression" dxfId="51" priority="127">
      <formula>CELL("merged",E62:T262)</formula>
    </cfRule>
  </conditionalFormatting>
  <conditionalFormatting sqref="K142:P142 E142:I143 K143:N143 P143">
    <cfRule type="expression" dxfId="50" priority="1433">
      <formula>CELL("merged",E142:T333)</formula>
    </cfRule>
  </conditionalFormatting>
  <conditionalFormatting sqref="K148:P148 E148:I149 K149:N149 P149">
    <cfRule type="expression" dxfId="49" priority="2610">
      <formula>CELL("merged",E148:T336)</formula>
    </cfRule>
  </conditionalFormatting>
  <conditionalFormatting sqref="L29">
    <cfRule type="expression" dxfId="48" priority="128">
      <formula>CELL("merged",L28:AA227)</formula>
    </cfRule>
  </conditionalFormatting>
  <conditionalFormatting sqref="M69">
    <cfRule type="expression" dxfId="47" priority="269">
      <formula>CELL("merged",M71:AB271)</formula>
    </cfRule>
  </conditionalFormatting>
  <conditionalFormatting sqref="N120">
    <cfRule type="expression" dxfId="46" priority="263">
      <formula>CELL("merged",M120:AB315)</formula>
    </cfRule>
  </conditionalFormatting>
  <conditionalFormatting sqref="O159 O165">
    <cfRule type="expression" dxfId="45" priority="3615">
      <formula>CELL("merged",O158:AD340)</formula>
    </cfRule>
  </conditionalFormatting>
  <conditionalFormatting sqref="O178:P178 F178:F179 P190:P197 F191:F196 O195 O199:O200 F207:F208 P207:P208 F210 P210:P211 O211 F214 P214:P215 P217:P220 F218:F220 O221 F222 P222 F229 P229 F232 P232 P234 F234:F239 P237 F245:F246 F248 F251:F252 O257 F257:F261 O260:O261 O277">
    <cfRule type="expression" dxfId="44" priority="41">
      <formula>CELL("merged",F178:U353)</formula>
    </cfRule>
  </conditionalFormatting>
  <conditionalFormatting sqref="P1">
    <cfRule type="expression" dxfId="43" priority="5519">
      <formula>CELL("merged",U234:AK409)</formula>
    </cfRule>
  </conditionalFormatting>
  <conditionalFormatting sqref="P180 F180:F182 P183:P185 F187 O187 F262:F264 F267:F268">
    <cfRule type="expression" dxfId="42" priority="3340">
      <formula>CELL("merged",F180:U354)</formula>
    </cfRule>
  </conditionalFormatting>
  <conditionalFormatting sqref="Q1:Q3 R3:S25 V3:ES25 Q5:Q9 Q11:Q16 Q18:Q19 Q21:Q25 R93:S94 V93:ES94 R346:ES353 R377:ES379">
    <cfRule type="expression" dxfId="41" priority="545">
      <formula>CELL("merged",Q1:AG199)</formula>
    </cfRule>
  </conditionalFormatting>
  <conditionalFormatting sqref="Q4 Q10 Q17 Q20 R26:S61 Q26:Q64 Q66 Q68 Q70 Q73:Q81 Q83:Q86 Q88 Q90:Q95 R91:S92 Q97 Q99 Q103 Q105:Q107 Q111 Q113 Q124:Q125 Q131:Q133 Q147 Q153 Q156 Q161:Q162 Q165 Q167 Q178 Q180 Q183:Q187 Q195 Q197 Q202 Q214 Q216:Q217 Q221 Q225:Q226 Q232:Q239 Q241:Q244 Q247 Q255 Q263 Q265:Q266 Q268:Q269 Q271 Q273 Q275 Q277:Q291 Q294 Q296 Q298 Q300 Q303:Q305 Q307 Q311 Q313 Q316:Q319 Q321:Q322 Q324:Q326 Q328:Q331 Q334:Q336 Q339:Q341 Q344:Q346 Q348 Q350:Q355 Q358:Q361">
    <cfRule type="expression" dxfId="40" priority="11">
      <formula>CELL("merged",Q4:AG203)</formula>
    </cfRule>
  </conditionalFormatting>
  <conditionalFormatting sqref="Q137 U137:ES139 Q139 R341:ES342">
    <cfRule type="expression" dxfId="39" priority="42">
      <formula>CELL("merged",Q137:AG330)</formula>
    </cfRule>
  </conditionalFormatting>
  <conditionalFormatting sqref="Q140 U140:ES141">
    <cfRule type="expression" dxfId="38" priority="1303">
      <formula>CELL("merged",Q140:AG332)</formula>
    </cfRule>
  </conditionalFormatting>
  <conditionalFormatting sqref="Q146 U146:ES147 R338:ES338">
    <cfRule type="expression" dxfId="37" priority="3026">
      <formula>CELL("merged",Q146:AG335)</formula>
    </cfRule>
  </conditionalFormatting>
  <conditionalFormatting sqref="Q148:Q149 U148:ES149">
    <cfRule type="expression" dxfId="36" priority="2622">
      <formula>CELL("merged",Q148:AG336)</formula>
    </cfRule>
  </conditionalFormatting>
  <conditionalFormatting sqref="Q150 U150:ES150">
    <cfRule type="expression" dxfId="35" priority="2216">
      <formula>CELL("merged",Q150:AG337)</formula>
    </cfRule>
  </conditionalFormatting>
  <conditionalFormatting sqref="Q151 U151:ES151 R337:ES337">
    <cfRule type="expression" dxfId="34" priority="4895">
      <formula>CELL("merged",Q151:AG337)</formula>
    </cfRule>
  </conditionalFormatting>
  <conditionalFormatting sqref="Q152 U152:ES153 R336:ES336">
    <cfRule type="expression" dxfId="33" priority="2883">
      <formula>CELL("merged",Q152:AG337)</formula>
    </cfRule>
  </conditionalFormatting>
  <conditionalFormatting sqref="Q158 U158:ES158 R333:ES333">
    <cfRule type="expression" dxfId="32" priority="1963">
      <formula>CELL("merged",Q158:AG340)</formula>
    </cfRule>
  </conditionalFormatting>
  <conditionalFormatting sqref="Q159:Q160 U159:ES161 R331:ES332">
    <cfRule type="expression" dxfId="31" priority="3604">
      <formula>CELL("merged",Q159:AG340)</formula>
    </cfRule>
  </conditionalFormatting>
  <conditionalFormatting sqref="Q164 U164:ES165">
    <cfRule type="expression" dxfId="30" priority="1855">
      <formula>CELL("merged",Q164:AG343)</formula>
    </cfRule>
  </conditionalFormatting>
  <conditionalFormatting sqref="Q166 U166:ES167 R294:ES294">
    <cfRule type="expression" dxfId="29" priority="1705">
      <formula>CELL("merged",Q166:AG344)</formula>
    </cfRule>
  </conditionalFormatting>
  <conditionalFormatting sqref="Q168 U168:ES168 R293:ES293">
    <cfRule type="expression" dxfId="28" priority="3914">
      <formula>CELL("merged",Q168:AG345)</formula>
    </cfRule>
  </conditionalFormatting>
  <conditionalFormatting sqref="Q169:Q170 U169:ES177 Q172:Q173 Q177 Q201 U201:ES203 Q292:ES292">
    <cfRule type="expression" dxfId="27" priority="3508">
      <formula>CELL("merged",Q169:AG345)</formula>
    </cfRule>
  </conditionalFormatting>
  <conditionalFormatting sqref="Q171 Q174 Q188 Q198:Q200 Q203:Q204 Q210:Q213 Q215 Q222 Q224 Q245:Q246 Q248 Q250:Q252 Q254 Q256 Q259 Q262 Q267 Q293 Q302 Q309 Q312 Q323 Q327">
    <cfRule type="expression" dxfId="26" priority="4930">
      <formula>CELL("merged",Q171:AG372)</formula>
    </cfRule>
  </conditionalFormatting>
  <conditionalFormatting sqref="Q175:Q176">
    <cfRule type="expression" dxfId="25" priority="5163">
      <formula>CELL("merged",Q175:AG377)</formula>
    </cfRule>
  </conditionalFormatting>
  <conditionalFormatting sqref="Q182">
    <cfRule type="expression" dxfId="24" priority="4651">
      <formula>CELL("merged",Q181:AG382)</formula>
    </cfRule>
  </conditionalFormatting>
  <conditionalFormatting sqref="Q332">
    <cfRule type="expression" dxfId="23" priority="1422">
      <formula>CELL("merged",Q333:AG510)</formula>
    </cfRule>
  </conditionalFormatting>
  <conditionalFormatting sqref="Q333">
    <cfRule type="expression" dxfId="22" priority="1286">
      <formula>CELL("merged",Q334:AG512)</formula>
    </cfRule>
  </conditionalFormatting>
  <conditionalFormatting sqref="Q342">
    <cfRule type="expression" dxfId="21" priority="3972">
      <formula>CELL("merged",Q343:AG532)</formula>
    </cfRule>
  </conditionalFormatting>
  <conditionalFormatting sqref="Q364:Q371 Q372:ES376">
    <cfRule type="expression" dxfId="20" priority="6">
      <formula>CELL("merged",Q364:AG563)</formula>
    </cfRule>
  </conditionalFormatting>
  <conditionalFormatting sqref="Q377:Q436">
    <cfRule type="expression" dxfId="19" priority="5">
      <formula>CELL("merged",Q377:AG576)</formula>
    </cfRule>
  </conditionalFormatting>
  <conditionalFormatting sqref="Q295:ES295 R296:ES296 Q297:ES297 R298:ES298 Q299:ES299 R300:ES300 Q301:ES301 R302:ES305 Q306:ES306 R307:ES307 Q308:ES308 R309:ES309 Q310:ES310 R311:ES313 Q314:ES315 R316:ES319 Q320:ES320 R321:ES329">
    <cfRule type="expression" dxfId="18" priority="3225">
      <formula>CELL("merged",Q295:AG474)</formula>
    </cfRule>
  </conditionalFormatting>
  <conditionalFormatting sqref="R62:S64 V62:ES90 Q65:S65 R66:S66 Q67:S67 R68:S68 Q69:S69 R70:S70 Q71:S72 R73:S81 Q82:S82 R83:S86 Q87:S87 R88:S88 Q89:S89 R90:S90 Q129 Q138 Q141:Q142 Q144 Q154:Q155 Q157 Q337 Q343 Q349 R355:ES363 Q356:Q357 Q362:Q363">
    <cfRule type="expression" dxfId="17" priority="341">
      <formula>CELL("merged",Q62:AG262)</formula>
    </cfRule>
  </conditionalFormatting>
  <conditionalFormatting sqref="R95:S95 V95:ES96 Q96:S96">
    <cfRule type="expression" dxfId="16" priority="631">
      <formula>CELL("merged",Q95:AG292)</formula>
    </cfRule>
  </conditionalFormatting>
  <conditionalFormatting sqref="R97:S97 V97:ES98 Q98:S98 R345:ES345">
    <cfRule type="expression" dxfId="15" priority="714">
      <formula>CELL("merged",Q97:AG293)</formula>
    </cfRule>
  </conditionalFormatting>
  <conditionalFormatting sqref="R99:S131 Q100:Q102 Q104 Q108:Q110 Q112 Q114:Q123 Q126:Q128 Q130 U132:ES132 Q134 U134:ES134 R344:ES344">
    <cfRule type="expression" dxfId="14" priority="734">
      <formula>CELL("merged",Q99:AG294)</formula>
    </cfRule>
  </conditionalFormatting>
  <conditionalFormatting sqref="R354:ES354 R365:ES371 R380:ES423">
    <cfRule type="expression" dxfId="13" priority="38">
      <formula>CELL("merged",R354:AH553)</formula>
    </cfRule>
  </conditionalFormatting>
  <conditionalFormatting sqref="R364:ES364">
    <cfRule type="expression" dxfId="12" priority="4108">
      <formula>CELL("merged",R364:AH578)</formula>
    </cfRule>
  </conditionalFormatting>
  <conditionalFormatting sqref="U133:ES133 Q135:Q136 U135:ES136 R343:ES343 Q347">
    <cfRule type="expression" dxfId="11" priority="1593">
      <formula>CELL("merged",Q133:AG327)</formula>
    </cfRule>
  </conditionalFormatting>
  <conditionalFormatting sqref="U142:ES143 Q143">
    <cfRule type="expression" dxfId="10" priority="2765">
      <formula>CELL("merged",Q142:AG333)</formula>
    </cfRule>
  </conditionalFormatting>
  <conditionalFormatting sqref="U144:ES145 Q145 R339:ES340">
    <cfRule type="expression" dxfId="9" priority="4938">
      <formula>CELL("merged",Q144:AG334)</formula>
    </cfRule>
  </conditionalFormatting>
  <conditionalFormatting sqref="U154:ES156 R335:ES335">
    <cfRule type="expression" dxfId="8" priority="3037">
      <formula>CELL("merged",R154:AH338)</formula>
    </cfRule>
  </conditionalFormatting>
  <conditionalFormatting sqref="U157:ES157 R334:ES334">
    <cfRule type="expression" dxfId="7" priority="3213">
      <formula>CELL("merged",R157:AH340)</formula>
    </cfRule>
  </conditionalFormatting>
  <conditionalFormatting sqref="U162:ES163 Q163 R330:ES330">
    <cfRule type="expression" dxfId="6" priority="3160">
      <formula>CELL("merged",Q162:AG342)</formula>
    </cfRule>
  </conditionalFormatting>
  <conditionalFormatting sqref="U178:ES179 Q179 Q190:Q194 U190:ES200 Q196 U204:ES233 Q205:Q209 Q218:Q220 Q223 Q227:Q231 V234:ES234 U235:ES261 Q240 Q249 Q253 Q257:Q258 Q260:Q261 R291:ES291">
    <cfRule type="expression" dxfId="5" priority="3346">
      <formula>CELL("merged",Q178:AG353)</formula>
    </cfRule>
  </conditionalFormatting>
  <conditionalFormatting sqref="U180:ES189 Q189 Q264">
    <cfRule type="expression" dxfId="4" priority="4307">
      <formula>CELL("merged",Q180:AG354)</formula>
    </cfRule>
  </conditionalFormatting>
  <conditionalFormatting sqref="U262:ES269 Q270:ES270 R271:ES271 Q272:ES272 R273:ES273 Q274:ES274 R275:ES275 Q276:ES276 R277:ES290">
    <cfRule type="expression" dxfId="3" priority="1134">
      <formula>CELL("merged",Q262:AG436)</formula>
    </cfRule>
  </conditionalFormatting>
  <conditionalFormatting sqref="V26:ES61 V91:ES92">
    <cfRule type="expression" dxfId="2" priority="79">
      <formula>CELL("merged",V26:AL225)</formula>
    </cfRule>
  </conditionalFormatting>
  <conditionalFormatting sqref="V99:ES131">
    <cfRule type="expression" dxfId="1" priority="403">
      <formula>CELL("merged",V99:AL294)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242E3D-9A22-48FF-8FA1-F090BA87D3FB}">
          <x14:formula1>
            <xm:f>Summary!$A$2:$A$76</xm:f>
          </x14:formula1>
          <xm:sqref>F1:F1048576</xm:sqref>
        </x14:dataValidation>
        <x14:dataValidation type="list" allowBlank="1" showInputMessage="1" showErrorMessage="1" xr:uid="{7428F7DA-2675-4630-8069-4F248D5D395C}">
          <x14:formula1>
            <xm:f>Summary!$X$2:$X$10</xm:f>
          </x14:formula1>
          <xm:sqref>J1:J1048576</xm:sqref>
        </x14:dataValidation>
        <x14:dataValidation type="list" allowBlank="1" showInputMessage="1" showErrorMessage="1" xr:uid="{501FC7EA-BE09-49E3-991E-390F36B1E894}">
          <x14:formula1>
            <xm:f>Summary!$Y$2:$Y$23</xm:f>
          </x14:formula1>
          <xm:sqref>K371:K393 K395:K1048576 K1:K369</xm:sqref>
        </x14:dataValidation>
        <x14:dataValidation type="list" allowBlank="1" showInputMessage="1" showErrorMessage="1" xr:uid="{262F6E47-A8A2-4F2B-8093-DB74E6E08CB2}">
          <x14:formula1>
            <xm:f>Summary!$K$3:$K$6</xm:f>
          </x14:formula1>
          <xm:sqref>P1:P369 P371:P1048576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E606-1F24-4010-B810-651E71492B46}">
  <sheetPr>
    <tabColor rgb="FF00B0F0"/>
  </sheetPr>
  <dimension ref="A1:Q261"/>
  <sheetViews>
    <sheetView zoomScale="85" zoomScaleNormal="85" workbookViewId="0">
      <pane ySplit="1" topLeftCell="A164" activePane="bottomLeft" state="frozen"/>
      <selection pane="bottomLeft" activeCell="D170" sqref="D170"/>
    </sheetView>
  </sheetViews>
  <sheetFormatPr defaultColWidth="9.28515625" defaultRowHeight="15" x14ac:dyDescent="0.25"/>
  <cols>
    <col min="1" max="1" width="11.7109375" style="82" bestFit="1" customWidth="1"/>
    <col min="2" max="2" width="7.42578125" style="82" bestFit="1" customWidth="1"/>
    <col min="3" max="3" width="11.28515625" style="82" customWidth="1"/>
    <col min="4" max="4" width="25.42578125" style="82" customWidth="1"/>
    <col min="5" max="5" width="10.7109375" style="82" bestFit="1" customWidth="1"/>
    <col min="6" max="6" width="24.42578125" style="82" customWidth="1"/>
    <col min="7" max="7" width="17.7109375" style="82" bestFit="1" customWidth="1"/>
    <col min="8" max="8" width="17" style="82" bestFit="1" customWidth="1"/>
    <col min="9" max="9" width="12.42578125" style="82" bestFit="1" customWidth="1"/>
    <col min="10" max="10" width="11.42578125" style="82" bestFit="1" customWidth="1"/>
    <col min="11" max="11" width="18.28515625" style="82" bestFit="1" customWidth="1"/>
    <col min="12" max="12" width="12.42578125" style="82" bestFit="1" customWidth="1"/>
    <col min="13" max="13" width="11.42578125" style="82" bestFit="1" customWidth="1"/>
    <col min="14" max="14" width="13.42578125" style="82" bestFit="1" customWidth="1"/>
    <col min="15" max="15" width="15" style="82" bestFit="1" customWidth="1"/>
    <col min="16" max="16" width="18.42578125" style="82" bestFit="1" customWidth="1"/>
    <col min="17" max="16384" width="9.28515625" style="82"/>
  </cols>
  <sheetData>
    <row r="1" spans="1:16" x14ac:dyDescent="0.25">
      <c r="A1" s="86" t="s">
        <v>837</v>
      </c>
      <c r="B1" s="276" t="s">
        <v>838</v>
      </c>
      <c r="C1" s="276" t="s">
        <v>839</v>
      </c>
      <c r="D1" s="86" t="s">
        <v>840</v>
      </c>
      <c r="E1" s="87" t="s">
        <v>841</v>
      </c>
      <c r="F1" s="88" t="s">
        <v>842</v>
      </c>
      <c r="G1" s="89" t="s">
        <v>843</v>
      </c>
      <c r="H1" s="89" t="s">
        <v>844</v>
      </c>
      <c r="I1" s="90" t="s">
        <v>845</v>
      </c>
      <c r="J1" s="86" t="s">
        <v>846</v>
      </c>
      <c r="K1" s="86" t="s">
        <v>847</v>
      </c>
      <c r="L1" s="91" t="s">
        <v>848</v>
      </c>
      <c r="M1" s="92" t="s">
        <v>846</v>
      </c>
      <c r="N1" s="92" t="s">
        <v>849</v>
      </c>
      <c r="O1" s="93" t="s">
        <v>9</v>
      </c>
      <c r="P1" s="93" t="s">
        <v>853</v>
      </c>
    </row>
    <row r="2" spans="1:16" x14ac:dyDescent="0.25">
      <c r="A2" s="81">
        <v>1</v>
      </c>
      <c r="B2" s="94">
        <v>10</v>
      </c>
      <c r="C2" s="94" t="s">
        <v>854</v>
      </c>
      <c r="D2" s="81" t="s">
        <v>855</v>
      </c>
      <c r="E2" s="95">
        <v>45182</v>
      </c>
      <c r="F2" s="96">
        <v>6017348293</v>
      </c>
      <c r="G2" s="97" t="s">
        <v>856</v>
      </c>
      <c r="H2" s="98">
        <v>45315</v>
      </c>
      <c r="I2" s="99">
        <v>950.5</v>
      </c>
      <c r="J2" s="100">
        <v>95.050000000000011</v>
      </c>
      <c r="K2" s="100">
        <f t="shared" ref="K2:K33" si="0">IFERROR(IF(I2=0,"",(I2*0.1)+I2),"")</f>
        <v>1045.55</v>
      </c>
      <c r="L2" s="99">
        <v>860.52800000000002</v>
      </c>
      <c r="M2" s="100">
        <f t="shared" ref="M2:M33" si="1">IFERROR(IF(L2=0,"",L2*0.1),"")</f>
        <v>86.052800000000005</v>
      </c>
      <c r="N2" s="100">
        <f t="shared" ref="N2:N33" si="2">IFERROR(IF(L2=0,"",(L2*0.1)+L2),"")</f>
        <v>946.58080000000007</v>
      </c>
      <c r="O2" s="101" t="str">
        <f t="shared" ref="O2:O33" si="3">IF(G2="","Pending Update",IF(G2="Yet to Invoice","WIP","Completed"))</f>
        <v>Completed</v>
      </c>
      <c r="P2" s="81">
        <f t="shared" ref="P2:P33" si="4">IF(H2="","",MONTH(H2))</f>
        <v>1</v>
      </c>
    </row>
    <row r="3" spans="1:16" x14ac:dyDescent="0.25">
      <c r="A3" s="81">
        <v>2</v>
      </c>
      <c r="B3" s="94">
        <v>10</v>
      </c>
      <c r="C3" s="94" t="s">
        <v>857</v>
      </c>
      <c r="D3" s="81" t="s">
        <v>153</v>
      </c>
      <c r="E3" s="95">
        <v>45182</v>
      </c>
      <c r="F3" s="96">
        <v>6017353906</v>
      </c>
      <c r="G3" s="102" t="s">
        <v>858</v>
      </c>
      <c r="H3" s="98">
        <v>45025</v>
      </c>
      <c r="I3" s="99">
        <v>9800</v>
      </c>
      <c r="J3" s="100">
        <v>980</v>
      </c>
      <c r="K3" s="100">
        <f t="shared" si="0"/>
        <v>10780</v>
      </c>
      <c r="L3" s="99">
        <v>6308.6989999999996</v>
      </c>
      <c r="M3" s="100">
        <f t="shared" si="1"/>
        <v>630.86990000000003</v>
      </c>
      <c r="N3" s="100">
        <f t="shared" si="2"/>
        <v>6939.5688999999993</v>
      </c>
      <c r="O3" s="101" t="str">
        <f t="shared" si="3"/>
        <v>Completed</v>
      </c>
      <c r="P3" s="81">
        <f t="shared" si="4"/>
        <v>4</v>
      </c>
    </row>
    <row r="4" spans="1:16" x14ac:dyDescent="0.25">
      <c r="A4" s="81">
        <v>3</v>
      </c>
      <c r="B4" s="94">
        <v>10</v>
      </c>
      <c r="C4" s="94" t="s">
        <v>859</v>
      </c>
      <c r="D4" s="81" t="s">
        <v>153</v>
      </c>
      <c r="E4" s="95">
        <v>45209</v>
      </c>
      <c r="F4" s="103">
        <v>6017348297</v>
      </c>
      <c r="G4" s="97" t="s">
        <v>860</v>
      </c>
      <c r="H4" s="98">
        <v>45312</v>
      </c>
      <c r="I4" s="99">
        <v>2190</v>
      </c>
      <c r="J4" s="100">
        <v>219</v>
      </c>
      <c r="K4" s="100">
        <f t="shared" si="0"/>
        <v>2409</v>
      </c>
      <c r="L4" s="99">
        <v>2031.924</v>
      </c>
      <c r="M4" s="100">
        <f t="shared" si="1"/>
        <v>203.19240000000002</v>
      </c>
      <c r="N4" s="100">
        <f t="shared" si="2"/>
        <v>2235.1163999999999</v>
      </c>
      <c r="O4" s="101" t="str">
        <f t="shared" si="3"/>
        <v>Completed</v>
      </c>
      <c r="P4" s="81">
        <f t="shared" si="4"/>
        <v>1</v>
      </c>
    </row>
    <row r="5" spans="1:16" x14ac:dyDescent="0.25">
      <c r="A5" s="81">
        <v>4</v>
      </c>
      <c r="B5" s="94">
        <v>10</v>
      </c>
      <c r="C5" s="94" t="s">
        <v>861</v>
      </c>
      <c r="D5" s="81" t="s">
        <v>101</v>
      </c>
      <c r="E5" s="95">
        <v>45169</v>
      </c>
      <c r="F5" s="96">
        <v>6017350763</v>
      </c>
      <c r="G5" s="104" t="s">
        <v>862</v>
      </c>
      <c r="H5" s="98">
        <v>45337</v>
      </c>
      <c r="I5" s="99">
        <v>650</v>
      </c>
      <c r="J5" s="100">
        <v>65</v>
      </c>
      <c r="K5" s="100">
        <f t="shared" si="0"/>
        <v>715</v>
      </c>
      <c r="L5" s="99">
        <v>649.88</v>
      </c>
      <c r="M5" s="100">
        <f t="shared" si="1"/>
        <v>64.988</v>
      </c>
      <c r="N5" s="100">
        <f t="shared" si="2"/>
        <v>714.86799999999994</v>
      </c>
      <c r="O5" s="101" t="str">
        <f t="shared" si="3"/>
        <v>Completed</v>
      </c>
      <c r="P5" s="81">
        <f t="shared" si="4"/>
        <v>2</v>
      </c>
    </row>
    <row r="6" spans="1:16" x14ac:dyDescent="0.25">
      <c r="A6" s="81">
        <v>5</v>
      </c>
      <c r="B6" s="94">
        <v>10</v>
      </c>
      <c r="C6" s="94" t="s">
        <v>863</v>
      </c>
      <c r="D6" s="81" t="s">
        <v>104</v>
      </c>
      <c r="E6" s="95">
        <v>45220</v>
      </c>
      <c r="F6" s="103">
        <v>6017350803</v>
      </c>
      <c r="G6" s="103" t="s">
        <v>864</v>
      </c>
      <c r="H6" s="98">
        <v>45348</v>
      </c>
      <c r="I6" s="99">
        <v>9618</v>
      </c>
      <c r="J6" s="100">
        <v>961.80000000000007</v>
      </c>
      <c r="K6" s="100">
        <f t="shared" si="0"/>
        <v>10579.8</v>
      </c>
      <c r="L6" s="99">
        <v>7947.326</v>
      </c>
      <c r="M6" s="100">
        <f t="shared" si="1"/>
        <v>794.73260000000005</v>
      </c>
      <c r="N6" s="100">
        <f t="shared" si="2"/>
        <v>8742.0586000000003</v>
      </c>
      <c r="O6" s="101" t="str">
        <f t="shared" si="3"/>
        <v>Completed</v>
      </c>
      <c r="P6" s="81">
        <f t="shared" si="4"/>
        <v>2</v>
      </c>
    </row>
    <row r="7" spans="1:16" x14ac:dyDescent="0.25">
      <c r="A7" s="83">
        <v>6</v>
      </c>
      <c r="B7" s="105">
        <v>10</v>
      </c>
      <c r="C7" s="105" t="s">
        <v>865</v>
      </c>
      <c r="D7" s="83" t="s">
        <v>104</v>
      </c>
      <c r="E7" s="106">
        <v>45204</v>
      </c>
      <c r="F7" s="107">
        <v>6017349724</v>
      </c>
      <c r="G7" s="107" t="s">
        <v>866</v>
      </c>
      <c r="H7" s="108">
        <v>45372</v>
      </c>
      <c r="I7" s="109">
        <v>16170</v>
      </c>
      <c r="J7" s="110">
        <v>1617</v>
      </c>
      <c r="K7" s="110">
        <f t="shared" si="0"/>
        <v>17787</v>
      </c>
      <c r="L7" s="109"/>
      <c r="M7" s="110" t="str">
        <f t="shared" si="1"/>
        <v/>
      </c>
      <c r="N7" s="110" t="str">
        <f t="shared" si="2"/>
        <v/>
      </c>
      <c r="O7" s="111" t="str">
        <f t="shared" si="3"/>
        <v>Completed</v>
      </c>
      <c r="P7" s="83">
        <f t="shared" si="4"/>
        <v>3</v>
      </c>
    </row>
    <row r="8" spans="1:16" x14ac:dyDescent="0.25">
      <c r="A8" s="83">
        <v>7</v>
      </c>
      <c r="B8" s="105">
        <v>10</v>
      </c>
      <c r="C8" s="105" t="s">
        <v>865</v>
      </c>
      <c r="D8" s="83" t="s">
        <v>104</v>
      </c>
      <c r="E8" s="106">
        <v>45204</v>
      </c>
      <c r="F8" s="112" t="s">
        <v>867</v>
      </c>
      <c r="G8" s="107" t="s">
        <v>868</v>
      </c>
      <c r="H8" s="108">
        <v>45454</v>
      </c>
      <c r="I8" s="109">
        <v>1870</v>
      </c>
      <c r="J8" s="110">
        <v>187</v>
      </c>
      <c r="K8" s="110">
        <f t="shared" si="0"/>
        <v>2057</v>
      </c>
      <c r="L8" s="109"/>
      <c r="M8" s="110" t="str">
        <f t="shared" si="1"/>
        <v/>
      </c>
      <c r="N8" s="110" t="str">
        <f t="shared" si="2"/>
        <v/>
      </c>
      <c r="O8" s="111" t="str">
        <f t="shared" si="3"/>
        <v>Completed</v>
      </c>
      <c r="P8" s="83">
        <f t="shared" si="4"/>
        <v>6</v>
      </c>
    </row>
    <row r="9" spans="1:16" x14ac:dyDescent="0.25">
      <c r="A9" s="81">
        <v>8</v>
      </c>
      <c r="B9" s="94">
        <v>10</v>
      </c>
      <c r="C9" s="94" t="s">
        <v>869</v>
      </c>
      <c r="D9" s="81" t="s">
        <v>197</v>
      </c>
      <c r="E9" s="95">
        <v>45225</v>
      </c>
      <c r="F9" s="103">
        <v>6017348294</v>
      </c>
      <c r="G9" s="97" t="s">
        <v>870</v>
      </c>
      <c r="H9" s="98">
        <v>45315</v>
      </c>
      <c r="I9" s="99">
        <v>1048</v>
      </c>
      <c r="J9" s="100">
        <v>104.80000000000001</v>
      </c>
      <c r="K9" s="100">
        <f t="shared" si="0"/>
        <v>1152.8</v>
      </c>
      <c r="L9" s="99">
        <v>874.36199999999997</v>
      </c>
      <c r="M9" s="100">
        <f t="shared" si="1"/>
        <v>87.436199999999999</v>
      </c>
      <c r="N9" s="100">
        <f t="shared" si="2"/>
        <v>961.79819999999995</v>
      </c>
      <c r="O9" s="101" t="str">
        <f t="shared" si="3"/>
        <v>Completed</v>
      </c>
      <c r="P9" s="81">
        <f t="shared" si="4"/>
        <v>1</v>
      </c>
    </row>
    <row r="10" spans="1:16" x14ac:dyDescent="0.25">
      <c r="A10" s="81">
        <v>9</v>
      </c>
      <c r="B10" s="94">
        <v>10</v>
      </c>
      <c r="C10" s="94" t="s">
        <v>871</v>
      </c>
      <c r="D10" s="81" t="s">
        <v>132</v>
      </c>
      <c r="E10" s="95">
        <v>45229</v>
      </c>
      <c r="F10" s="96" t="s">
        <v>867</v>
      </c>
      <c r="G10" s="97" t="s">
        <v>872</v>
      </c>
      <c r="H10" s="98">
        <v>45384</v>
      </c>
      <c r="I10" s="99">
        <v>4135.71</v>
      </c>
      <c r="J10" s="100">
        <v>413.57100000000003</v>
      </c>
      <c r="K10" s="100">
        <f t="shared" si="0"/>
        <v>4549.2809999999999</v>
      </c>
      <c r="L10" s="99">
        <v>2672.55</v>
      </c>
      <c r="M10" s="100">
        <f t="shared" si="1"/>
        <v>267.25500000000005</v>
      </c>
      <c r="N10" s="100">
        <f t="shared" si="2"/>
        <v>2939.8050000000003</v>
      </c>
      <c r="O10" s="101" t="str">
        <f t="shared" si="3"/>
        <v>Completed</v>
      </c>
      <c r="P10" s="81">
        <f t="shared" si="4"/>
        <v>4</v>
      </c>
    </row>
    <row r="11" spans="1:16" x14ac:dyDescent="0.25">
      <c r="A11" s="81">
        <v>10</v>
      </c>
      <c r="B11" s="94">
        <v>10</v>
      </c>
      <c r="C11" s="94" t="s">
        <v>873</v>
      </c>
      <c r="D11" s="81" t="s">
        <v>52</v>
      </c>
      <c r="E11" s="95">
        <v>45266</v>
      </c>
      <c r="F11" s="96">
        <v>6037463204</v>
      </c>
      <c r="G11" s="103" t="s">
        <v>868</v>
      </c>
      <c r="H11" s="98">
        <v>45305</v>
      </c>
      <c r="I11" s="99">
        <v>725</v>
      </c>
      <c r="J11" s="100">
        <v>72.5</v>
      </c>
      <c r="K11" s="100">
        <f t="shared" si="0"/>
        <v>797.5</v>
      </c>
      <c r="L11" s="99">
        <v>502.11599999999999</v>
      </c>
      <c r="M11" s="100">
        <f t="shared" si="1"/>
        <v>50.211600000000004</v>
      </c>
      <c r="N11" s="100">
        <f t="shared" si="2"/>
        <v>552.32759999999996</v>
      </c>
      <c r="O11" s="101" t="str">
        <f t="shared" si="3"/>
        <v>Completed</v>
      </c>
      <c r="P11" s="81">
        <f t="shared" si="4"/>
        <v>1</v>
      </c>
    </row>
    <row r="12" spans="1:16" x14ac:dyDescent="0.25">
      <c r="A12" s="81">
        <v>11</v>
      </c>
      <c r="B12" s="94">
        <v>10</v>
      </c>
      <c r="C12" s="94" t="s">
        <v>874</v>
      </c>
      <c r="D12" s="81" t="s">
        <v>438</v>
      </c>
      <c r="E12" s="95">
        <v>45190</v>
      </c>
      <c r="F12" s="113">
        <v>6037463204</v>
      </c>
      <c r="G12" s="114" t="s">
        <v>875</v>
      </c>
      <c r="H12" s="98">
        <v>45305</v>
      </c>
      <c r="I12" s="99">
        <v>450</v>
      </c>
      <c r="J12" s="100">
        <v>45</v>
      </c>
      <c r="K12" s="100">
        <f t="shared" si="0"/>
        <v>495</v>
      </c>
      <c r="L12" s="99">
        <v>359.25200000000001</v>
      </c>
      <c r="M12" s="100">
        <f t="shared" si="1"/>
        <v>35.925200000000004</v>
      </c>
      <c r="N12" s="100">
        <f t="shared" si="2"/>
        <v>395.17720000000003</v>
      </c>
      <c r="O12" s="101" t="str">
        <f t="shared" si="3"/>
        <v>Completed</v>
      </c>
      <c r="P12" s="81">
        <f t="shared" si="4"/>
        <v>1</v>
      </c>
    </row>
    <row r="13" spans="1:16" x14ac:dyDescent="0.25">
      <c r="A13" s="81">
        <v>12</v>
      </c>
      <c r="B13" s="94">
        <v>10</v>
      </c>
      <c r="C13" s="94" t="s">
        <v>876</v>
      </c>
      <c r="D13" s="81" t="s">
        <v>520</v>
      </c>
      <c r="E13" s="95">
        <v>45271</v>
      </c>
      <c r="F13" s="115">
        <v>6037463206</v>
      </c>
      <c r="G13" s="103" t="s">
        <v>877</v>
      </c>
      <c r="H13" s="98">
        <v>45336</v>
      </c>
      <c r="I13" s="99">
        <v>7500</v>
      </c>
      <c r="J13" s="100">
        <v>750</v>
      </c>
      <c r="K13" s="100">
        <f t="shared" si="0"/>
        <v>8250</v>
      </c>
      <c r="L13" s="99">
        <v>7006.3990000000003</v>
      </c>
      <c r="M13" s="100">
        <f t="shared" si="1"/>
        <v>700.63990000000013</v>
      </c>
      <c r="N13" s="100">
        <f t="shared" si="2"/>
        <v>7707.0389000000005</v>
      </c>
      <c r="O13" s="101" t="str">
        <f t="shared" si="3"/>
        <v>Completed</v>
      </c>
      <c r="P13" s="81">
        <f t="shared" si="4"/>
        <v>2</v>
      </c>
    </row>
    <row r="14" spans="1:16" x14ac:dyDescent="0.25">
      <c r="A14" s="81">
        <v>13</v>
      </c>
      <c r="B14" s="94">
        <v>10</v>
      </c>
      <c r="C14" s="94" t="s">
        <v>878</v>
      </c>
      <c r="D14" s="81" t="s">
        <v>104</v>
      </c>
      <c r="E14" s="95">
        <v>45264</v>
      </c>
      <c r="F14" s="103">
        <v>6017349716</v>
      </c>
      <c r="G14" s="116" t="s">
        <v>879</v>
      </c>
      <c r="H14" s="98">
        <v>45322</v>
      </c>
      <c r="I14" s="99">
        <v>276</v>
      </c>
      <c r="J14" s="100">
        <v>27.6</v>
      </c>
      <c r="K14" s="100">
        <f t="shared" si="0"/>
        <v>303.60000000000002</v>
      </c>
      <c r="L14" s="99">
        <v>229.47499999999999</v>
      </c>
      <c r="M14" s="100">
        <f t="shared" si="1"/>
        <v>22.947500000000002</v>
      </c>
      <c r="N14" s="100">
        <f t="shared" si="2"/>
        <v>252.42249999999999</v>
      </c>
      <c r="O14" s="101" t="str">
        <f t="shared" si="3"/>
        <v>Completed</v>
      </c>
      <c r="P14" s="81">
        <f t="shared" si="4"/>
        <v>1</v>
      </c>
    </row>
    <row r="15" spans="1:16" x14ac:dyDescent="0.25">
      <c r="A15" s="81">
        <v>14</v>
      </c>
      <c r="B15" s="94">
        <v>10</v>
      </c>
      <c r="C15" s="94" t="s">
        <v>880</v>
      </c>
      <c r="D15" s="81" t="s">
        <v>104</v>
      </c>
      <c r="E15" s="95">
        <v>45270</v>
      </c>
      <c r="F15" s="117">
        <v>6017349731</v>
      </c>
      <c r="G15" s="116" t="s">
        <v>881</v>
      </c>
      <c r="H15" s="98">
        <v>45322</v>
      </c>
      <c r="I15" s="99">
        <v>1450</v>
      </c>
      <c r="J15" s="100">
        <v>145</v>
      </c>
      <c r="K15" s="100">
        <f t="shared" si="0"/>
        <v>1595</v>
      </c>
      <c r="L15" s="99">
        <v>1182.9760000000001</v>
      </c>
      <c r="M15" s="100">
        <f t="shared" si="1"/>
        <v>118.29760000000002</v>
      </c>
      <c r="N15" s="100">
        <f t="shared" si="2"/>
        <v>1301.2736000000002</v>
      </c>
      <c r="O15" s="101" t="str">
        <f t="shared" si="3"/>
        <v>Completed</v>
      </c>
      <c r="P15" s="81">
        <f t="shared" si="4"/>
        <v>1</v>
      </c>
    </row>
    <row r="16" spans="1:16" x14ac:dyDescent="0.25">
      <c r="A16" s="81">
        <v>15</v>
      </c>
      <c r="B16" s="94">
        <v>10</v>
      </c>
      <c r="C16" s="94" t="s">
        <v>882</v>
      </c>
      <c r="D16" s="81" t="s">
        <v>19</v>
      </c>
      <c r="E16" s="95">
        <v>45234</v>
      </c>
      <c r="F16" s="115">
        <v>6017349718</v>
      </c>
      <c r="G16" s="103" t="s">
        <v>883</v>
      </c>
      <c r="H16" s="98">
        <v>45322</v>
      </c>
      <c r="I16" s="99">
        <v>3077</v>
      </c>
      <c r="J16" s="100">
        <v>307.70000000000005</v>
      </c>
      <c r="K16" s="100">
        <f t="shared" si="0"/>
        <v>3384.7</v>
      </c>
      <c r="L16" s="99">
        <v>2626.5050000000001</v>
      </c>
      <c r="M16" s="100">
        <f t="shared" si="1"/>
        <v>262.65050000000002</v>
      </c>
      <c r="N16" s="100">
        <f t="shared" si="2"/>
        <v>2889.1555000000003</v>
      </c>
      <c r="O16" s="101" t="str">
        <f t="shared" si="3"/>
        <v>Completed</v>
      </c>
      <c r="P16" s="81">
        <f t="shared" si="4"/>
        <v>1</v>
      </c>
    </row>
    <row r="17" spans="1:16" x14ac:dyDescent="0.25">
      <c r="A17" s="81">
        <v>16</v>
      </c>
      <c r="B17" s="94">
        <v>10</v>
      </c>
      <c r="C17" s="94" t="s">
        <v>884</v>
      </c>
      <c r="D17" s="81" t="s">
        <v>885</v>
      </c>
      <c r="E17" s="95">
        <v>45250</v>
      </c>
      <c r="F17" s="103">
        <v>6017349719</v>
      </c>
      <c r="G17" s="114" t="s">
        <v>886</v>
      </c>
      <c r="H17" s="98">
        <v>45322</v>
      </c>
      <c r="I17" s="99">
        <v>310</v>
      </c>
      <c r="J17" s="100">
        <v>31</v>
      </c>
      <c r="K17" s="100">
        <f t="shared" si="0"/>
        <v>341</v>
      </c>
      <c r="L17" s="99">
        <v>290.36900000000003</v>
      </c>
      <c r="M17" s="100">
        <f t="shared" si="1"/>
        <v>29.036900000000003</v>
      </c>
      <c r="N17" s="100">
        <f t="shared" si="2"/>
        <v>319.40590000000003</v>
      </c>
      <c r="O17" s="101" t="str">
        <f t="shared" si="3"/>
        <v>Completed</v>
      </c>
      <c r="P17" s="81">
        <f t="shared" si="4"/>
        <v>1</v>
      </c>
    </row>
    <row r="18" spans="1:16" x14ac:dyDescent="0.25">
      <c r="A18" s="81">
        <v>17</v>
      </c>
      <c r="B18" s="94">
        <v>10</v>
      </c>
      <c r="C18" s="94" t="s">
        <v>887</v>
      </c>
      <c r="D18" s="81" t="s">
        <v>823</v>
      </c>
      <c r="E18" s="95">
        <v>45286</v>
      </c>
      <c r="F18" s="103">
        <v>6017349720</v>
      </c>
      <c r="G18" s="104" t="s">
        <v>888</v>
      </c>
      <c r="H18" s="98">
        <v>45322</v>
      </c>
      <c r="I18" s="99">
        <v>250</v>
      </c>
      <c r="J18" s="100">
        <v>25</v>
      </c>
      <c r="K18" s="100">
        <f t="shared" si="0"/>
        <v>275</v>
      </c>
      <c r="L18" s="99">
        <v>213.93</v>
      </c>
      <c r="M18" s="100">
        <f t="shared" si="1"/>
        <v>21.393000000000001</v>
      </c>
      <c r="N18" s="100">
        <f t="shared" si="2"/>
        <v>235.32300000000001</v>
      </c>
      <c r="O18" s="101" t="str">
        <f t="shared" si="3"/>
        <v>Completed</v>
      </c>
      <c r="P18" s="81">
        <f t="shared" si="4"/>
        <v>1</v>
      </c>
    </row>
    <row r="19" spans="1:16" x14ac:dyDescent="0.25">
      <c r="A19" s="81">
        <v>18</v>
      </c>
      <c r="B19" s="94">
        <v>10</v>
      </c>
      <c r="C19" s="94" t="s">
        <v>889</v>
      </c>
      <c r="D19" s="81" t="s">
        <v>830</v>
      </c>
      <c r="E19" s="95">
        <v>45285</v>
      </c>
      <c r="F19" s="103">
        <v>6017349721</v>
      </c>
      <c r="G19" s="104" t="s">
        <v>890</v>
      </c>
      <c r="H19" s="98">
        <v>45322</v>
      </c>
      <c r="I19" s="99">
        <v>218</v>
      </c>
      <c r="J19" s="100">
        <v>21.8</v>
      </c>
      <c r="K19" s="100">
        <f t="shared" si="0"/>
        <v>239.8</v>
      </c>
      <c r="L19" s="99">
        <v>176.649</v>
      </c>
      <c r="M19" s="100">
        <f t="shared" si="1"/>
        <v>17.664899999999999</v>
      </c>
      <c r="N19" s="100">
        <f t="shared" si="2"/>
        <v>194.31389999999999</v>
      </c>
      <c r="O19" s="101" t="str">
        <f t="shared" si="3"/>
        <v>Completed</v>
      </c>
      <c r="P19" s="81">
        <f t="shared" si="4"/>
        <v>1</v>
      </c>
    </row>
    <row r="20" spans="1:16" x14ac:dyDescent="0.25">
      <c r="A20" s="81">
        <v>19</v>
      </c>
      <c r="B20" s="94">
        <v>10</v>
      </c>
      <c r="C20" s="94" t="s">
        <v>891</v>
      </c>
      <c r="D20" s="81" t="s">
        <v>855</v>
      </c>
      <c r="E20" s="95">
        <v>45178</v>
      </c>
      <c r="F20" s="103">
        <v>6017349722</v>
      </c>
      <c r="G20" s="104" t="s">
        <v>892</v>
      </c>
      <c r="H20" s="98">
        <v>45322</v>
      </c>
      <c r="I20" s="99">
        <v>544</v>
      </c>
      <c r="J20" s="100">
        <v>54.400000000000006</v>
      </c>
      <c r="K20" s="100">
        <f t="shared" si="0"/>
        <v>598.4</v>
      </c>
      <c r="L20" s="99">
        <v>522.32500000000005</v>
      </c>
      <c r="M20" s="100">
        <f t="shared" si="1"/>
        <v>52.232500000000009</v>
      </c>
      <c r="N20" s="100">
        <f t="shared" si="2"/>
        <v>574.5575</v>
      </c>
      <c r="O20" s="101" t="str">
        <f t="shared" si="3"/>
        <v>Completed</v>
      </c>
      <c r="P20" s="81">
        <f t="shared" si="4"/>
        <v>1</v>
      </c>
    </row>
    <row r="21" spans="1:16" x14ac:dyDescent="0.25">
      <c r="A21" s="81">
        <v>20</v>
      </c>
      <c r="B21" s="94">
        <v>10</v>
      </c>
      <c r="C21" s="94" t="s">
        <v>893</v>
      </c>
      <c r="D21" s="46" t="s">
        <v>206</v>
      </c>
      <c r="E21" s="95">
        <v>45287</v>
      </c>
      <c r="F21" s="96">
        <v>6017350766</v>
      </c>
      <c r="G21" s="103" t="s">
        <v>894</v>
      </c>
      <c r="H21" s="98">
        <v>45337</v>
      </c>
      <c r="I21" s="99">
        <v>610</v>
      </c>
      <c r="J21" s="100">
        <v>61</v>
      </c>
      <c r="K21" s="100">
        <f t="shared" si="0"/>
        <v>671</v>
      </c>
      <c r="L21" s="99">
        <v>388.62</v>
      </c>
      <c r="M21" s="100">
        <f t="shared" si="1"/>
        <v>38.862000000000002</v>
      </c>
      <c r="N21" s="100">
        <f t="shared" si="2"/>
        <v>427.48200000000003</v>
      </c>
      <c r="O21" s="101" t="str">
        <f t="shared" si="3"/>
        <v>Completed</v>
      </c>
      <c r="P21" s="81">
        <f t="shared" si="4"/>
        <v>2</v>
      </c>
    </row>
    <row r="22" spans="1:16" x14ac:dyDescent="0.25">
      <c r="A22" s="81">
        <v>21</v>
      </c>
      <c r="B22" s="94">
        <v>10</v>
      </c>
      <c r="C22" s="94" t="s">
        <v>895</v>
      </c>
      <c r="D22" s="81" t="s">
        <v>896</v>
      </c>
      <c r="E22" s="95">
        <v>45301</v>
      </c>
      <c r="F22" s="103">
        <v>6017350767</v>
      </c>
      <c r="G22" s="104" t="s">
        <v>897</v>
      </c>
      <c r="H22" s="98">
        <v>45338</v>
      </c>
      <c r="I22" s="99">
        <v>599.9</v>
      </c>
      <c r="J22" s="100">
        <v>59.99</v>
      </c>
      <c r="K22" s="100">
        <f t="shared" si="0"/>
        <v>659.89</v>
      </c>
      <c r="L22" s="99">
        <v>564.851</v>
      </c>
      <c r="M22" s="100">
        <f t="shared" si="1"/>
        <v>56.485100000000003</v>
      </c>
      <c r="N22" s="100">
        <f t="shared" si="2"/>
        <v>621.33609999999999</v>
      </c>
      <c r="O22" s="101" t="str">
        <f t="shared" si="3"/>
        <v>Completed</v>
      </c>
      <c r="P22" s="81">
        <f t="shared" si="4"/>
        <v>2</v>
      </c>
    </row>
    <row r="23" spans="1:16" x14ac:dyDescent="0.25">
      <c r="A23" s="81">
        <v>22</v>
      </c>
      <c r="B23" s="94">
        <v>10</v>
      </c>
      <c r="C23" s="94" t="s">
        <v>898</v>
      </c>
      <c r="D23" s="81" t="s">
        <v>855</v>
      </c>
      <c r="E23" s="95">
        <v>45258</v>
      </c>
      <c r="F23" s="118">
        <v>6017353907</v>
      </c>
      <c r="G23" s="104" t="s">
        <v>899</v>
      </c>
      <c r="H23" s="98">
        <v>45391</v>
      </c>
      <c r="I23" s="99">
        <v>2606.1</v>
      </c>
      <c r="J23" s="100">
        <v>260.61</v>
      </c>
      <c r="K23" s="100">
        <f t="shared" si="0"/>
        <v>2866.71</v>
      </c>
      <c r="L23" s="99">
        <v>2326.9520000000002</v>
      </c>
      <c r="M23" s="100">
        <f t="shared" si="1"/>
        <v>232.69520000000003</v>
      </c>
      <c r="N23" s="100">
        <f t="shared" si="2"/>
        <v>2559.6472000000003</v>
      </c>
      <c r="O23" s="101" t="str">
        <f t="shared" si="3"/>
        <v>Completed</v>
      </c>
      <c r="P23" s="81">
        <f t="shared" si="4"/>
        <v>4</v>
      </c>
    </row>
    <row r="24" spans="1:16" x14ac:dyDescent="0.25">
      <c r="A24" s="81">
        <v>23</v>
      </c>
      <c r="B24" s="94">
        <v>11</v>
      </c>
      <c r="C24" s="94" t="s">
        <v>900</v>
      </c>
      <c r="D24" s="81" t="s">
        <v>101</v>
      </c>
      <c r="E24" s="95">
        <v>45313</v>
      </c>
      <c r="F24" s="96">
        <v>6017352483</v>
      </c>
      <c r="G24" s="103" t="s">
        <v>901</v>
      </c>
      <c r="H24" s="98">
        <v>45365</v>
      </c>
      <c r="I24" s="99">
        <v>1480</v>
      </c>
      <c r="J24" s="100">
        <v>148</v>
      </c>
      <c r="K24" s="100">
        <f t="shared" si="0"/>
        <v>1628</v>
      </c>
      <c r="L24" s="99">
        <v>1450.16</v>
      </c>
      <c r="M24" s="100">
        <f t="shared" si="1"/>
        <v>145.01600000000002</v>
      </c>
      <c r="N24" s="100">
        <f t="shared" si="2"/>
        <v>1595.1760000000002</v>
      </c>
      <c r="O24" s="101" t="str">
        <f t="shared" si="3"/>
        <v>Completed</v>
      </c>
      <c r="P24" s="81">
        <f t="shared" si="4"/>
        <v>3</v>
      </c>
    </row>
    <row r="25" spans="1:16" x14ac:dyDescent="0.25">
      <c r="A25" s="81">
        <v>24</v>
      </c>
      <c r="B25" s="94">
        <v>11</v>
      </c>
      <c r="C25" s="94" t="s">
        <v>902</v>
      </c>
      <c r="D25" s="46" t="s">
        <v>206</v>
      </c>
      <c r="E25" s="95">
        <v>45321</v>
      </c>
      <c r="F25" s="96">
        <v>6017353279</v>
      </c>
      <c r="G25" s="103" t="s">
        <v>903</v>
      </c>
      <c r="H25" s="98">
        <v>45400</v>
      </c>
      <c r="I25" s="99">
        <v>658.2</v>
      </c>
      <c r="J25" s="100">
        <v>65.820000000000007</v>
      </c>
      <c r="K25" s="100">
        <f t="shared" si="0"/>
        <v>724.0200000000001</v>
      </c>
      <c r="L25" s="99">
        <v>577.15499999999997</v>
      </c>
      <c r="M25" s="100">
        <f t="shared" si="1"/>
        <v>57.715499999999999</v>
      </c>
      <c r="N25" s="100">
        <f t="shared" si="2"/>
        <v>634.87049999999999</v>
      </c>
      <c r="O25" s="101" t="str">
        <f t="shared" si="3"/>
        <v>Completed</v>
      </c>
      <c r="P25" s="81">
        <f t="shared" si="4"/>
        <v>4</v>
      </c>
    </row>
    <row r="26" spans="1:16" x14ac:dyDescent="0.25">
      <c r="A26" s="81">
        <v>25</v>
      </c>
      <c r="B26" s="94">
        <v>11</v>
      </c>
      <c r="C26" s="94" t="s">
        <v>904</v>
      </c>
      <c r="D26" s="81" t="s">
        <v>197</v>
      </c>
      <c r="E26" s="95">
        <v>45322</v>
      </c>
      <c r="F26" s="118">
        <v>6017353453</v>
      </c>
      <c r="G26" s="103" t="s">
        <v>905</v>
      </c>
      <c r="H26" s="98">
        <v>45391</v>
      </c>
      <c r="I26" s="99">
        <v>2200</v>
      </c>
      <c r="J26" s="100">
        <v>220</v>
      </c>
      <c r="K26" s="100">
        <f t="shared" si="0"/>
        <v>2420</v>
      </c>
      <c r="L26" s="99">
        <v>1747.9480000000001</v>
      </c>
      <c r="M26" s="100">
        <f t="shared" si="1"/>
        <v>174.79480000000001</v>
      </c>
      <c r="N26" s="100">
        <f t="shared" si="2"/>
        <v>1922.7428</v>
      </c>
      <c r="O26" s="101" t="str">
        <f t="shared" si="3"/>
        <v>Completed</v>
      </c>
      <c r="P26" s="81">
        <f t="shared" si="4"/>
        <v>4</v>
      </c>
    </row>
    <row r="27" spans="1:16" x14ac:dyDescent="0.25">
      <c r="A27" s="81">
        <v>26</v>
      </c>
      <c r="B27" s="94">
        <v>11</v>
      </c>
      <c r="C27" s="94" t="s">
        <v>906</v>
      </c>
      <c r="D27" s="46" t="s">
        <v>206</v>
      </c>
      <c r="E27" s="95">
        <v>45321</v>
      </c>
      <c r="F27" s="96">
        <v>6017350768</v>
      </c>
      <c r="G27" s="103" t="s">
        <v>907</v>
      </c>
      <c r="H27" s="98">
        <v>45336</v>
      </c>
      <c r="I27" s="99">
        <v>335</v>
      </c>
      <c r="J27" s="100">
        <v>33.5</v>
      </c>
      <c r="K27" s="100">
        <f t="shared" si="0"/>
        <v>368.5</v>
      </c>
      <c r="L27" s="99">
        <v>301.24585260000009</v>
      </c>
      <c r="M27" s="100">
        <f t="shared" si="1"/>
        <v>30.124585260000011</v>
      </c>
      <c r="N27" s="100">
        <f t="shared" si="2"/>
        <v>331.3704378600001</v>
      </c>
      <c r="O27" s="101" t="str">
        <f t="shared" si="3"/>
        <v>Completed</v>
      </c>
      <c r="P27" s="81">
        <f t="shared" si="4"/>
        <v>2</v>
      </c>
    </row>
    <row r="28" spans="1:16" x14ac:dyDescent="0.25">
      <c r="A28" s="81">
        <v>27</v>
      </c>
      <c r="B28" s="94">
        <v>11</v>
      </c>
      <c r="C28" s="94" t="s">
        <v>908</v>
      </c>
      <c r="D28" s="46" t="s">
        <v>206</v>
      </c>
      <c r="E28" s="95">
        <v>45328</v>
      </c>
      <c r="F28" s="96">
        <v>6017352484</v>
      </c>
      <c r="G28" s="103" t="s">
        <v>909</v>
      </c>
      <c r="H28" s="98">
        <v>45365</v>
      </c>
      <c r="I28" s="99">
        <v>320</v>
      </c>
      <c r="J28" s="100">
        <v>32</v>
      </c>
      <c r="K28" s="100">
        <f t="shared" si="0"/>
        <v>352</v>
      </c>
      <c r="L28" s="99">
        <v>291.76400000000001</v>
      </c>
      <c r="M28" s="100">
        <f t="shared" si="1"/>
        <v>29.176400000000001</v>
      </c>
      <c r="N28" s="100">
        <f t="shared" si="2"/>
        <v>320.94040000000001</v>
      </c>
      <c r="O28" s="101" t="str">
        <f t="shared" si="3"/>
        <v>Completed</v>
      </c>
      <c r="P28" s="81">
        <f t="shared" si="4"/>
        <v>3</v>
      </c>
    </row>
    <row r="29" spans="1:16" x14ac:dyDescent="0.25">
      <c r="A29" s="81">
        <v>28</v>
      </c>
      <c r="B29" s="94">
        <v>11</v>
      </c>
      <c r="C29" s="94" t="s">
        <v>910</v>
      </c>
      <c r="D29" s="81" t="s">
        <v>101</v>
      </c>
      <c r="E29" s="95">
        <v>45327</v>
      </c>
      <c r="F29" s="118">
        <v>6017353454</v>
      </c>
      <c r="G29" s="103" t="s">
        <v>911</v>
      </c>
      <c r="H29" s="98">
        <v>45391</v>
      </c>
      <c r="I29" s="99">
        <v>282</v>
      </c>
      <c r="J29" s="119">
        <v>28.200000000000003</v>
      </c>
      <c r="K29" s="100">
        <f t="shared" si="0"/>
        <v>310.2</v>
      </c>
      <c r="L29" s="99">
        <v>295.952</v>
      </c>
      <c r="M29" s="100">
        <f t="shared" si="1"/>
        <v>29.595200000000002</v>
      </c>
      <c r="N29" s="100">
        <f t="shared" si="2"/>
        <v>325.54719999999998</v>
      </c>
      <c r="O29" s="101" t="str">
        <f t="shared" si="3"/>
        <v>Completed</v>
      </c>
      <c r="P29" s="81">
        <f t="shared" si="4"/>
        <v>4</v>
      </c>
    </row>
    <row r="30" spans="1:16" x14ac:dyDescent="0.25">
      <c r="A30" s="81">
        <v>29</v>
      </c>
      <c r="B30" s="94">
        <v>11</v>
      </c>
      <c r="C30" s="94" t="s">
        <v>912</v>
      </c>
      <c r="D30" s="81" t="s">
        <v>855</v>
      </c>
      <c r="E30" s="95">
        <v>45319</v>
      </c>
      <c r="F30" s="96">
        <v>6017355534</v>
      </c>
      <c r="G30" s="103" t="s">
        <v>913</v>
      </c>
      <c r="H30" s="98">
        <v>45410</v>
      </c>
      <c r="I30" s="99">
        <v>1885</v>
      </c>
      <c r="J30" s="119">
        <v>188.5</v>
      </c>
      <c r="K30" s="100">
        <f t="shared" si="0"/>
        <v>2073.5</v>
      </c>
      <c r="L30" s="99">
        <v>1827.979</v>
      </c>
      <c r="M30" s="100">
        <f t="shared" si="1"/>
        <v>182.79790000000003</v>
      </c>
      <c r="N30" s="100">
        <f t="shared" si="2"/>
        <v>2010.7769000000001</v>
      </c>
      <c r="O30" s="101" t="str">
        <f t="shared" si="3"/>
        <v>Completed</v>
      </c>
      <c r="P30" s="81">
        <f t="shared" si="4"/>
        <v>4</v>
      </c>
    </row>
    <row r="31" spans="1:16" x14ac:dyDescent="0.25">
      <c r="A31" s="81">
        <v>30</v>
      </c>
      <c r="B31" s="94">
        <v>11</v>
      </c>
      <c r="C31" s="94" t="s">
        <v>914</v>
      </c>
      <c r="D31" s="81" t="s">
        <v>438</v>
      </c>
      <c r="E31" s="95">
        <v>45339</v>
      </c>
      <c r="F31" s="96">
        <v>6017352485</v>
      </c>
      <c r="G31" s="103" t="s">
        <v>915</v>
      </c>
      <c r="H31" s="98">
        <v>45365</v>
      </c>
      <c r="I31" s="99">
        <v>235</v>
      </c>
      <c r="J31" s="120">
        <v>23.5</v>
      </c>
      <c r="K31" s="100">
        <f t="shared" si="0"/>
        <v>258.5</v>
      </c>
      <c r="L31" s="99">
        <v>197.21700000000001</v>
      </c>
      <c r="M31" s="100">
        <f t="shared" si="1"/>
        <v>19.721700000000002</v>
      </c>
      <c r="N31" s="100">
        <f t="shared" si="2"/>
        <v>216.93870000000001</v>
      </c>
      <c r="O31" s="101" t="str">
        <f t="shared" si="3"/>
        <v>Completed</v>
      </c>
      <c r="P31" s="81">
        <f t="shared" si="4"/>
        <v>3</v>
      </c>
    </row>
    <row r="32" spans="1:16" x14ac:dyDescent="0.25">
      <c r="A32" s="81">
        <v>31</v>
      </c>
      <c r="B32" s="94">
        <v>11</v>
      </c>
      <c r="C32" s="121" t="s">
        <v>916</v>
      </c>
      <c r="D32" s="46" t="s">
        <v>206</v>
      </c>
      <c r="E32" s="95">
        <v>45302</v>
      </c>
      <c r="F32" s="118">
        <v>6017353455</v>
      </c>
      <c r="G32" s="103" t="s">
        <v>917</v>
      </c>
      <c r="H32" s="98">
        <v>45391</v>
      </c>
      <c r="I32" s="99">
        <v>1776</v>
      </c>
      <c r="J32" s="100">
        <v>177.60000000000002</v>
      </c>
      <c r="K32" s="100">
        <f t="shared" si="0"/>
        <v>1953.6</v>
      </c>
      <c r="L32" s="99">
        <v>1582.7159999999999</v>
      </c>
      <c r="M32" s="100">
        <f t="shared" si="1"/>
        <v>158.27160000000001</v>
      </c>
      <c r="N32" s="100">
        <f t="shared" si="2"/>
        <v>1740.9875999999999</v>
      </c>
      <c r="O32" s="101" t="str">
        <f t="shared" si="3"/>
        <v>Completed</v>
      </c>
      <c r="P32" s="81">
        <f t="shared" si="4"/>
        <v>4</v>
      </c>
    </row>
    <row r="33" spans="1:16" x14ac:dyDescent="0.25">
      <c r="A33" s="81">
        <v>32</v>
      </c>
      <c r="B33" s="94">
        <v>11</v>
      </c>
      <c r="C33" s="94" t="s">
        <v>918</v>
      </c>
      <c r="D33" s="46" t="s">
        <v>262</v>
      </c>
      <c r="E33" s="95">
        <v>45095</v>
      </c>
      <c r="F33" s="96">
        <v>6017355885</v>
      </c>
      <c r="G33" s="103" t="s">
        <v>919</v>
      </c>
      <c r="H33" s="98">
        <v>45365</v>
      </c>
      <c r="I33" s="122">
        <v>3600</v>
      </c>
      <c r="J33" s="100">
        <v>360</v>
      </c>
      <c r="K33" s="100">
        <f t="shared" si="0"/>
        <v>3960</v>
      </c>
      <c r="L33" s="99">
        <v>3300.2759999999998</v>
      </c>
      <c r="M33" s="100">
        <f t="shared" si="1"/>
        <v>330.02760000000001</v>
      </c>
      <c r="N33" s="100">
        <f t="shared" si="2"/>
        <v>3630.3035999999997</v>
      </c>
      <c r="O33" s="101" t="str">
        <f t="shared" si="3"/>
        <v>Completed</v>
      </c>
      <c r="P33" s="81">
        <f t="shared" si="4"/>
        <v>3</v>
      </c>
    </row>
    <row r="34" spans="1:16" x14ac:dyDescent="0.25">
      <c r="A34" s="81">
        <v>33</v>
      </c>
      <c r="B34" s="94">
        <v>11</v>
      </c>
      <c r="C34" s="94" t="s">
        <v>920</v>
      </c>
      <c r="D34" s="81" t="s">
        <v>153</v>
      </c>
      <c r="E34" s="95">
        <v>45183</v>
      </c>
      <c r="F34" s="96">
        <v>6017355071</v>
      </c>
      <c r="G34" s="103" t="s">
        <v>921</v>
      </c>
      <c r="H34" s="98">
        <v>45340</v>
      </c>
      <c r="I34" s="99">
        <v>1575</v>
      </c>
      <c r="J34" s="100">
        <v>157.5</v>
      </c>
      <c r="K34" s="100">
        <f t="shared" ref="K34:K68" si="5">IFERROR(IF(I34=0,"",(I34*0.1)+I34),"")</f>
        <v>1732.5</v>
      </c>
      <c r="L34" s="99">
        <v>1459.248</v>
      </c>
      <c r="M34" s="100">
        <f t="shared" ref="M34:M65" si="6">IFERROR(IF(L34=0,"",L34*0.1),"")</f>
        <v>145.9248</v>
      </c>
      <c r="N34" s="100">
        <f t="shared" ref="N34:N65" si="7">IFERROR(IF(L34=0,"",(L34*0.1)+L34),"")</f>
        <v>1605.1728000000001</v>
      </c>
      <c r="O34" s="101" t="str">
        <f t="shared" ref="O34:O65" si="8">IF(G34="","Pending Update",IF(G34="Yet to Invoice","WIP","Completed"))</f>
        <v>Completed</v>
      </c>
      <c r="P34" s="81">
        <f t="shared" ref="P34:P65" si="9">IF(H34="","",MONTH(H34))</f>
        <v>2</v>
      </c>
    </row>
    <row r="35" spans="1:16" x14ac:dyDescent="0.25">
      <c r="A35" s="81">
        <v>34</v>
      </c>
      <c r="B35" s="94">
        <v>12</v>
      </c>
      <c r="C35" s="94" t="s">
        <v>922</v>
      </c>
      <c r="D35" s="46" t="s">
        <v>206</v>
      </c>
      <c r="E35" s="95">
        <v>45316</v>
      </c>
      <c r="F35" s="96">
        <v>6017355675</v>
      </c>
      <c r="G35" s="103" t="s">
        <v>923</v>
      </c>
      <c r="H35" s="98">
        <v>45355</v>
      </c>
      <c r="I35" s="122">
        <v>630</v>
      </c>
      <c r="J35" s="100">
        <v>63</v>
      </c>
      <c r="K35" s="100">
        <f t="shared" si="5"/>
        <v>693</v>
      </c>
      <c r="L35" s="99">
        <v>555.702</v>
      </c>
      <c r="M35" s="100">
        <f t="shared" si="6"/>
        <v>55.5702</v>
      </c>
      <c r="N35" s="100">
        <f t="shared" si="7"/>
        <v>611.2722</v>
      </c>
      <c r="O35" s="101" t="str">
        <f t="shared" si="8"/>
        <v>Completed</v>
      </c>
      <c r="P35" s="81">
        <f t="shared" si="9"/>
        <v>3</v>
      </c>
    </row>
    <row r="36" spans="1:16" x14ac:dyDescent="0.25">
      <c r="A36" s="81">
        <v>35</v>
      </c>
      <c r="B36" s="94">
        <v>12</v>
      </c>
      <c r="C36" s="94" t="s">
        <v>924</v>
      </c>
      <c r="D36" s="81" t="s">
        <v>438</v>
      </c>
      <c r="E36" s="95">
        <v>45302</v>
      </c>
      <c r="F36" s="96">
        <v>6017355674</v>
      </c>
      <c r="G36" s="103" t="s">
        <v>925</v>
      </c>
      <c r="H36" s="98">
        <v>45341</v>
      </c>
      <c r="I36" s="122">
        <v>200</v>
      </c>
      <c r="J36" s="100">
        <v>20</v>
      </c>
      <c r="K36" s="100">
        <f t="shared" si="5"/>
        <v>220</v>
      </c>
      <c r="L36" s="99">
        <v>182.40600000000001</v>
      </c>
      <c r="M36" s="100">
        <f t="shared" si="6"/>
        <v>18.240600000000001</v>
      </c>
      <c r="N36" s="100">
        <f t="shared" si="7"/>
        <v>200.64660000000001</v>
      </c>
      <c r="O36" s="101" t="str">
        <f t="shared" si="8"/>
        <v>Completed</v>
      </c>
      <c r="P36" s="81">
        <f t="shared" si="9"/>
        <v>2</v>
      </c>
    </row>
    <row r="37" spans="1:16" x14ac:dyDescent="0.25">
      <c r="A37" s="81">
        <v>36</v>
      </c>
      <c r="B37" s="94">
        <v>12</v>
      </c>
      <c r="C37" s="94" t="s">
        <v>926</v>
      </c>
      <c r="D37" s="81" t="s">
        <v>438</v>
      </c>
      <c r="E37" s="95">
        <v>45327</v>
      </c>
      <c r="F37" s="123">
        <v>6017355672</v>
      </c>
      <c r="G37" s="103" t="s">
        <v>927</v>
      </c>
      <c r="H37" s="98">
        <v>45335</v>
      </c>
      <c r="I37" s="122">
        <v>250</v>
      </c>
      <c r="J37" s="100">
        <v>25</v>
      </c>
      <c r="K37" s="100">
        <f t="shared" si="5"/>
        <v>275</v>
      </c>
      <c r="L37" s="99">
        <v>229.06800000000001</v>
      </c>
      <c r="M37" s="100">
        <f t="shared" si="6"/>
        <v>22.906800000000004</v>
      </c>
      <c r="N37" s="100">
        <f t="shared" si="7"/>
        <v>251.97480000000002</v>
      </c>
      <c r="O37" s="101" t="str">
        <f t="shared" si="8"/>
        <v>Completed</v>
      </c>
      <c r="P37" s="81">
        <f t="shared" si="9"/>
        <v>2</v>
      </c>
    </row>
    <row r="38" spans="1:16" x14ac:dyDescent="0.25">
      <c r="A38" s="81">
        <v>37</v>
      </c>
      <c r="B38" s="94">
        <v>12</v>
      </c>
      <c r="C38" s="94" t="s">
        <v>928</v>
      </c>
      <c r="D38" s="46" t="s">
        <v>262</v>
      </c>
      <c r="E38" s="95">
        <v>45248</v>
      </c>
      <c r="F38" s="124" t="s">
        <v>867</v>
      </c>
      <c r="G38" s="103" t="s">
        <v>929</v>
      </c>
      <c r="H38" s="98">
        <v>45414</v>
      </c>
      <c r="I38" s="125">
        <v>6114</v>
      </c>
      <c r="J38" s="126">
        <v>611.4</v>
      </c>
      <c r="K38" s="126">
        <f t="shared" si="5"/>
        <v>6725.4</v>
      </c>
      <c r="L38" s="125">
        <v>5283.9920000000002</v>
      </c>
      <c r="M38" s="126">
        <f t="shared" si="6"/>
        <v>528.39920000000006</v>
      </c>
      <c r="N38" s="126">
        <f t="shared" si="7"/>
        <v>5812.3912</v>
      </c>
      <c r="O38" s="101" t="str">
        <f t="shared" si="8"/>
        <v>Completed</v>
      </c>
      <c r="P38" s="81">
        <f t="shared" si="9"/>
        <v>5</v>
      </c>
    </row>
    <row r="39" spans="1:16" x14ac:dyDescent="0.25">
      <c r="A39" s="81">
        <v>38</v>
      </c>
      <c r="B39" s="94">
        <v>12</v>
      </c>
      <c r="C39" s="94" t="s">
        <v>930</v>
      </c>
      <c r="D39" s="46" t="s">
        <v>262</v>
      </c>
      <c r="E39" s="95">
        <v>45005</v>
      </c>
      <c r="F39" s="118">
        <v>6017353456</v>
      </c>
      <c r="G39" s="103" t="s">
        <v>931</v>
      </c>
      <c r="H39" s="98">
        <v>45390</v>
      </c>
      <c r="I39" s="125">
        <v>1173</v>
      </c>
      <c r="J39" s="126">
        <v>117.30000000000001</v>
      </c>
      <c r="K39" s="126">
        <f t="shared" si="5"/>
        <v>1290.3</v>
      </c>
      <c r="L39" s="125">
        <v>943.03099999999995</v>
      </c>
      <c r="M39" s="126">
        <f t="shared" si="6"/>
        <v>94.303100000000001</v>
      </c>
      <c r="N39" s="126">
        <f t="shared" si="7"/>
        <v>1037.3341</v>
      </c>
      <c r="O39" s="101" t="str">
        <f t="shared" si="8"/>
        <v>Completed</v>
      </c>
      <c r="P39" s="81">
        <f t="shared" si="9"/>
        <v>4</v>
      </c>
    </row>
    <row r="40" spans="1:16" x14ac:dyDescent="0.25">
      <c r="A40" s="81">
        <v>39</v>
      </c>
      <c r="B40" s="94">
        <v>12</v>
      </c>
      <c r="C40" s="94" t="s">
        <v>932</v>
      </c>
      <c r="D40" s="46" t="s">
        <v>206</v>
      </c>
      <c r="E40" s="95">
        <v>45343</v>
      </c>
      <c r="F40" s="127">
        <v>6017353908</v>
      </c>
      <c r="G40" s="103" t="s">
        <v>933</v>
      </c>
      <c r="H40" s="98">
        <v>45388</v>
      </c>
      <c r="I40" s="99">
        <v>1097.25</v>
      </c>
      <c r="J40" s="100">
        <v>109.72500000000001</v>
      </c>
      <c r="K40" s="100">
        <f t="shared" si="5"/>
        <v>1206.9749999999999</v>
      </c>
      <c r="L40" s="99">
        <v>983.50599999999997</v>
      </c>
      <c r="M40" s="100">
        <f t="shared" si="6"/>
        <v>98.3506</v>
      </c>
      <c r="N40" s="100">
        <f t="shared" si="7"/>
        <v>1081.8566000000001</v>
      </c>
      <c r="O40" s="101" t="str">
        <f t="shared" si="8"/>
        <v>Completed</v>
      </c>
      <c r="P40" s="81">
        <f t="shared" si="9"/>
        <v>4</v>
      </c>
    </row>
    <row r="41" spans="1:16" x14ac:dyDescent="0.25">
      <c r="A41" s="81">
        <v>40</v>
      </c>
      <c r="B41" s="94">
        <v>12</v>
      </c>
      <c r="C41" s="94" t="s">
        <v>934</v>
      </c>
      <c r="D41" s="81" t="s">
        <v>104</v>
      </c>
      <c r="E41" s="95">
        <v>45335</v>
      </c>
      <c r="F41" s="128">
        <v>6017355535</v>
      </c>
      <c r="G41" s="103" t="s">
        <v>935</v>
      </c>
      <c r="H41" s="98">
        <v>45411</v>
      </c>
      <c r="I41" s="122">
        <v>10950</v>
      </c>
      <c r="J41" s="100">
        <v>1095</v>
      </c>
      <c r="K41" s="100">
        <f t="shared" si="5"/>
        <v>12045</v>
      </c>
      <c r="L41" s="99">
        <v>8470.1370000000006</v>
      </c>
      <c r="M41" s="100">
        <f t="shared" si="6"/>
        <v>847.01370000000009</v>
      </c>
      <c r="N41" s="100">
        <f t="shared" si="7"/>
        <v>9317.1507000000001</v>
      </c>
      <c r="O41" s="101" t="str">
        <f t="shared" si="8"/>
        <v>Completed</v>
      </c>
      <c r="P41" s="81">
        <f t="shared" si="9"/>
        <v>4</v>
      </c>
    </row>
    <row r="42" spans="1:16" x14ac:dyDescent="0.25">
      <c r="A42" s="81">
        <v>41</v>
      </c>
      <c r="B42" s="94">
        <v>12</v>
      </c>
      <c r="C42" s="94" t="s">
        <v>936</v>
      </c>
      <c r="D42" s="81" t="s">
        <v>104</v>
      </c>
      <c r="E42" s="95">
        <v>45312</v>
      </c>
      <c r="F42" s="127">
        <v>6017353457</v>
      </c>
      <c r="G42" s="103" t="s">
        <v>937</v>
      </c>
      <c r="H42" s="98">
        <v>45391</v>
      </c>
      <c r="I42" s="99">
        <v>192</v>
      </c>
      <c r="J42" s="100">
        <v>19.200000000000003</v>
      </c>
      <c r="K42" s="100">
        <f t="shared" si="5"/>
        <v>211.2</v>
      </c>
      <c r="L42" s="99">
        <v>142.107</v>
      </c>
      <c r="M42" s="100">
        <f t="shared" si="6"/>
        <v>14.210700000000001</v>
      </c>
      <c r="N42" s="100">
        <f t="shared" si="7"/>
        <v>156.3177</v>
      </c>
      <c r="O42" s="101" t="str">
        <f t="shared" si="8"/>
        <v>Completed</v>
      </c>
      <c r="P42" s="81">
        <f t="shared" si="9"/>
        <v>4</v>
      </c>
    </row>
    <row r="43" spans="1:16" x14ac:dyDescent="0.25">
      <c r="A43" s="81">
        <v>42</v>
      </c>
      <c r="B43" s="94">
        <v>12</v>
      </c>
      <c r="C43" s="94" t="s">
        <v>938</v>
      </c>
      <c r="D43" s="81" t="s">
        <v>52</v>
      </c>
      <c r="E43" s="95">
        <v>45342</v>
      </c>
      <c r="F43" s="127">
        <v>6017353458</v>
      </c>
      <c r="G43" s="103" t="s">
        <v>939</v>
      </c>
      <c r="H43" s="98">
        <v>45391</v>
      </c>
      <c r="I43" s="99">
        <v>690</v>
      </c>
      <c r="J43" s="100">
        <v>69</v>
      </c>
      <c r="K43" s="100">
        <f t="shared" si="5"/>
        <v>759</v>
      </c>
      <c r="L43" s="99">
        <v>627.38499999999999</v>
      </c>
      <c r="M43" s="100">
        <f t="shared" si="6"/>
        <v>62.738500000000002</v>
      </c>
      <c r="N43" s="100">
        <f t="shared" si="7"/>
        <v>690.12350000000004</v>
      </c>
      <c r="O43" s="101" t="str">
        <f t="shared" si="8"/>
        <v>Completed</v>
      </c>
      <c r="P43" s="81">
        <f t="shared" si="9"/>
        <v>4</v>
      </c>
    </row>
    <row r="44" spans="1:16" x14ac:dyDescent="0.25">
      <c r="A44" s="81">
        <v>43</v>
      </c>
      <c r="B44" s="94">
        <v>12</v>
      </c>
      <c r="C44" s="94" t="s">
        <v>940</v>
      </c>
      <c r="D44" s="81" t="s">
        <v>52</v>
      </c>
      <c r="E44" s="95">
        <v>45328</v>
      </c>
      <c r="F44" s="127">
        <v>6017353459</v>
      </c>
      <c r="G44" s="103" t="s">
        <v>941</v>
      </c>
      <c r="H44" s="98">
        <v>45391</v>
      </c>
      <c r="I44" s="125">
        <v>3500</v>
      </c>
      <c r="J44" s="100">
        <v>350</v>
      </c>
      <c r="K44" s="100">
        <f t="shared" si="5"/>
        <v>3850</v>
      </c>
      <c r="L44" s="99">
        <v>2947.194</v>
      </c>
      <c r="M44" s="100">
        <f t="shared" si="6"/>
        <v>294.71940000000001</v>
      </c>
      <c r="N44" s="100">
        <f t="shared" si="7"/>
        <v>3241.9133999999999</v>
      </c>
      <c r="O44" s="101" t="str">
        <f t="shared" si="8"/>
        <v>Completed</v>
      </c>
      <c r="P44" s="81">
        <f t="shared" si="9"/>
        <v>4</v>
      </c>
    </row>
    <row r="45" spans="1:16" x14ac:dyDescent="0.25">
      <c r="A45" s="81">
        <v>44</v>
      </c>
      <c r="B45" s="94">
        <v>12</v>
      </c>
      <c r="C45" s="94" t="s">
        <v>942</v>
      </c>
      <c r="D45" s="81" t="s">
        <v>101</v>
      </c>
      <c r="E45" s="95">
        <v>45348</v>
      </c>
      <c r="F45" s="129">
        <v>6017353460</v>
      </c>
      <c r="G45" s="103" t="s">
        <v>943</v>
      </c>
      <c r="H45" s="98">
        <v>45391</v>
      </c>
      <c r="I45" s="125">
        <v>5426</v>
      </c>
      <c r="J45" s="100">
        <v>542.6</v>
      </c>
      <c r="K45" s="100">
        <f t="shared" si="5"/>
        <v>5968.6</v>
      </c>
      <c r="L45" s="99">
        <v>4873.9399999999996</v>
      </c>
      <c r="M45" s="100">
        <f t="shared" si="6"/>
        <v>487.39400000000001</v>
      </c>
      <c r="N45" s="100">
        <f t="shared" si="7"/>
        <v>5361.3339999999998</v>
      </c>
      <c r="O45" s="101" t="str">
        <f t="shared" si="8"/>
        <v>Completed</v>
      </c>
      <c r="P45" s="81">
        <f t="shared" si="9"/>
        <v>4</v>
      </c>
    </row>
    <row r="46" spans="1:16" x14ac:dyDescent="0.25">
      <c r="A46" s="81">
        <v>45</v>
      </c>
      <c r="B46" s="94">
        <v>12</v>
      </c>
      <c r="C46" s="94" t="s">
        <v>944</v>
      </c>
      <c r="D46" s="81" t="s">
        <v>218</v>
      </c>
      <c r="E46" s="95">
        <v>45350</v>
      </c>
      <c r="F46" s="129">
        <v>6017353461</v>
      </c>
      <c r="G46" s="103" t="s">
        <v>945</v>
      </c>
      <c r="H46" s="98">
        <v>45391</v>
      </c>
      <c r="I46" s="99">
        <v>558</v>
      </c>
      <c r="J46" s="100">
        <v>55.800000000000004</v>
      </c>
      <c r="K46" s="100">
        <f t="shared" si="5"/>
        <v>613.79999999999995</v>
      </c>
      <c r="L46" s="99">
        <v>492.77199999999999</v>
      </c>
      <c r="M46" s="100">
        <f t="shared" si="6"/>
        <v>49.277200000000001</v>
      </c>
      <c r="N46" s="100">
        <f t="shared" si="7"/>
        <v>542.04920000000004</v>
      </c>
      <c r="O46" s="101" t="str">
        <f t="shared" si="8"/>
        <v>Completed</v>
      </c>
      <c r="P46" s="81">
        <f t="shared" si="9"/>
        <v>4</v>
      </c>
    </row>
    <row r="47" spans="1:16" x14ac:dyDescent="0.25">
      <c r="A47" s="81">
        <v>46</v>
      </c>
      <c r="B47" s="94">
        <v>12</v>
      </c>
      <c r="C47" s="94" t="s">
        <v>946</v>
      </c>
      <c r="D47" s="46" t="s">
        <v>262</v>
      </c>
      <c r="E47" s="95">
        <v>45346</v>
      </c>
      <c r="F47" s="129">
        <v>6017353909</v>
      </c>
      <c r="G47" s="103" t="s">
        <v>947</v>
      </c>
      <c r="H47" s="98">
        <v>45398</v>
      </c>
      <c r="I47" s="130">
        <v>4840</v>
      </c>
      <c r="J47" s="100">
        <v>484</v>
      </c>
      <c r="K47" s="100">
        <f t="shared" si="5"/>
        <v>5324</v>
      </c>
      <c r="L47" s="99">
        <v>3854.0990000000002</v>
      </c>
      <c r="M47" s="100">
        <f t="shared" si="6"/>
        <v>385.40990000000005</v>
      </c>
      <c r="N47" s="100">
        <f t="shared" si="7"/>
        <v>4239.5088999999998</v>
      </c>
      <c r="O47" s="101" t="str">
        <f t="shared" si="8"/>
        <v>Completed</v>
      </c>
      <c r="P47" s="81">
        <f t="shared" si="9"/>
        <v>4</v>
      </c>
    </row>
    <row r="48" spans="1:16" x14ac:dyDescent="0.25">
      <c r="A48" s="81">
        <v>47</v>
      </c>
      <c r="B48" s="94">
        <v>12</v>
      </c>
      <c r="C48" s="94" t="s">
        <v>948</v>
      </c>
      <c r="D48" s="81" t="s">
        <v>104</v>
      </c>
      <c r="E48" s="131">
        <v>45349</v>
      </c>
      <c r="F48" s="107">
        <v>3009395803</v>
      </c>
      <c r="G48" s="132" t="s">
        <v>949</v>
      </c>
      <c r="H48" s="98">
        <v>45575</v>
      </c>
      <c r="I48" s="133">
        <v>22000.674716399997</v>
      </c>
      <c r="J48" s="126">
        <v>2200.0674716399999</v>
      </c>
      <c r="K48" s="126">
        <f t="shared" si="5"/>
        <v>24200.742188039996</v>
      </c>
      <c r="L48" s="99">
        <v>18530.543271999999</v>
      </c>
      <c r="M48" s="100">
        <f t="shared" si="6"/>
        <v>1853.0543272</v>
      </c>
      <c r="N48" s="100">
        <f t="shared" si="7"/>
        <v>20383.597599199999</v>
      </c>
      <c r="O48" s="101" t="str">
        <f t="shared" si="8"/>
        <v>Completed</v>
      </c>
      <c r="P48" s="81">
        <f t="shared" si="9"/>
        <v>10</v>
      </c>
    </row>
    <row r="49" spans="1:16" x14ac:dyDescent="0.25">
      <c r="A49" s="81">
        <v>48</v>
      </c>
      <c r="B49" s="94">
        <v>12</v>
      </c>
      <c r="C49" s="94" t="s">
        <v>950</v>
      </c>
      <c r="D49" s="81" t="s">
        <v>27</v>
      </c>
      <c r="E49" s="95">
        <v>45340</v>
      </c>
      <c r="F49" s="134">
        <v>6017353462</v>
      </c>
      <c r="G49" s="103" t="s">
        <v>951</v>
      </c>
      <c r="H49" s="98">
        <v>45391</v>
      </c>
      <c r="I49" s="99">
        <v>1540</v>
      </c>
      <c r="J49" s="100">
        <v>154</v>
      </c>
      <c r="K49" s="100">
        <f t="shared" si="5"/>
        <v>1694</v>
      </c>
      <c r="L49" s="99">
        <v>1223.136</v>
      </c>
      <c r="M49" s="100">
        <f t="shared" si="6"/>
        <v>122.31360000000001</v>
      </c>
      <c r="N49" s="100">
        <f t="shared" si="7"/>
        <v>1345.4495999999999</v>
      </c>
      <c r="O49" s="101" t="str">
        <f t="shared" si="8"/>
        <v>Completed</v>
      </c>
      <c r="P49" s="81">
        <f t="shared" si="9"/>
        <v>4</v>
      </c>
    </row>
    <row r="50" spans="1:16" x14ac:dyDescent="0.25">
      <c r="A50" s="81">
        <v>49</v>
      </c>
      <c r="B50" s="94">
        <v>12</v>
      </c>
      <c r="C50" s="94" t="s">
        <v>952</v>
      </c>
      <c r="D50" s="46" t="s">
        <v>262</v>
      </c>
      <c r="E50" s="95">
        <v>45346</v>
      </c>
      <c r="F50" s="135">
        <v>6017355536</v>
      </c>
      <c r="G50" s="103" t="s">
        <v>953</v>
      </c>
      <c r="H50" s="98">
        <v>45418</v>
      </c>
      <c r="I50" s="99">
        <v>2860</v>
      </c>
      <c r="J50" s="100">
        <v>286</v>
      </c>
      <c r="K50" s="100">
        <f t="shared" si="5"/>
        <v>3146</v>
      </c>
      <c r="L50" s="99">
        <v>2440.6410000000001</v>
      </c>
      <c r="M50" s="100">
        <f t="shared" si="6"/>
        <v>244.06410000000002</v>
      </c>
      <c r="N50" s="100">
        <f t="shared" si="7"/>
        <v>2684.7051000000001</v>
      </c>
      <c r="O50" s="101" t="str">
        <f t="shared" si="8"/>
        <v>Completed</v>
      </c>
      <c r="P50" s="81">
        <f t="shared" si="9"/>
        <v>5</v>
      </c>
    </row>
    <row r="51" spans="1:16" x14ac:dyDescent="0.25">
      <c r="A51" s="81">
        <v>50</v>
      </c>
      <c r="B51" s="94">
        <v>12</v>
      </c>
      <c r="C51" s="94" t="s">
        <v>954</v>
      </c>
      <c r="D51" s="81" t="s">
        <v>438</v>
      </c>
      <c r="E51" s="95">
        <v>45377</v>
      </c>
      <c r="F51" s="136">
        <v>6017353910</v>
      </c>
      <c r="G51" s="103" t="s">
        <v>955</v>
      </c>
      <c r="H51" s="98">
        <v>45397</v>
      </c>
      <c r="I51" s="99">
        <v>42</v>
      </c>
      <c r="J51" s="100">
        <v>4.2</v>
      </c>
      <c r="K51" s="100">
        <f t="shared" si="5"/>
        <v>46.2</v>
      </c>
      <c r="L51" s="99">
        <v>32.185000000000002</v>
      </c>
      <c r="M51" s="100">
        <f t="shared" si="6"/>
        <v>3.2185000000000006</v>
      </c>
      <c r="N51" s="100">
        <f t="shared" si="7"/>
        <v>35.403500000000001</v>
      </c>
      <c r="O51" s="101" t="str">
        <f t="shared" si="8"/>
        <v>Completed</v>
      </c>
      <c r="P51" s="81">
        <f t="shared" si="9"/>
        <v>4</v>
      </c>
    </row>
    <row r="52" spans="1:16" x14ac:dyDescent="0.25">
      <c r="A52" s="81">
        <v>51</v>
      </c>
      <c r="B52" s="94">
        <v>12</v>
      </c>
      <c r="C52" s="94" t="s">
        <v>956</v>
      </c>
      <c r="D52" s="81" t="s">
        <v>104</v>
      </c>
      <c r="E52" s="95">
        <v>45374</v>
      </c>
      <c r="F52" s="96">
        <v>6017355539</v>
      </c>
      <c r="G52" s="103" t="s">
        <v>957</v>
      </c>
      <c r="H52" s="98">
        <v>45441</v>
      </c>
      <c r="I52" s="137">
        <v>2090</v>
      </c>
      <c r="J52" s="100">
        <v>209</v>
      </c>
      <c r="K52" s="100">
        <f t="shared" si="5"/>
        <v>2299</v>
      </c>
      <c r="L52" s="99">
        <v>1685.739</v>
      </c>
      <c r="M52" s="100">
        <f t="shared" si="6"/>
        <v>168.57390000000001</v>
      </c>
      <c r="N52" s="100">
        <f t="shared" si="7"/>
        <v>1854.3129000000001</v>
      </c>
      <c r="O52" s="101" t="str">
        <f t="shared" si="8"/>
        <v>Completed</v>
      </c>
      <c r="P52" s="81">
        <f t="shared" si="9"/>
        <v>5</v>
      </c>
    </row>
    <row r="53" spans="1:16" x14ac:dyDescent="0.25">
      <c r="A53" s="81">
        <v>52</v>
      </c>
      <c r="B53" s="94">
        <v>12</v>
      </c>
      <c r="C53" s="121" t="s">
        <v>958</v>
      </c>
      <c r="D53" s="46" t="s">
        <v>206</v>
      </c>
      <c r="E53" s="138">
        <v>45321</v>
      </c>
      <c r="F53" s="103">
        <v>6017355539</v>
      </c>
      <c r="G53" s="94" t="s">
        <v>959</v>
      </c>
      <c r="H53" s="98">
        <v>45334</v>
      </c>
      <c r="I53" s="99">
        <v>306.39999999999998</v>
      </c>
      <c r="J53" s="100">
        <v>30.64</v>
      </c>
      <c r="K53" s="100">
        <f t="shared" si="5"/>
        <v>337.03999999999996</v>
      </c>
      <c r="L53" s="99">
        <v>291.45</v>
      </c>
      <c r="M53" s="100">
        <f t="shared" si="6"/>
        <v>29.145</v>
      </c>
      <c r="N53" s="100">
        <f t="shared" si="7"/>
        <v>320.59499999999997</v>
      </c>
      <c r="O53" s="101" t="str">
        <f t="shared" si="8"/>
        <v>Completed</v>
      </c>
      <c r="P53" s="81">
        <f t="shared" si="9"/>
        <v>2</v>
      </c>
    </row>
    <row r="54" spans="1:16" x14ac:dyDescent="0.25">
      <c r="A54" s="81">
        <v>53</v>
      </c>
      <c r="B54" s="94">
        <v>12</v>
      </c>
      <c r="C54" s="139" t="s">
        <v>960</v>
      </c>
      <c r="D54" s="46" t="s">
        <v>206</v>
      </c>
      <c r="E54" s="140">
        <v>45363</v>
      </c>
      <c r="F54" s="103">
        <v>6017359663</v>
      </c>
      <c r="G54" s="132" t="s">
        <v>862</v>
      </c>
      <c r="H54" s="98">
        <v>45337</v>
      </c>
      <c r="I54" s="99">
        <v>450</v>
      </c>
      <c r="J54" s="100">
        <v>45</v>
      </c>
      <c r="K54" s="100">
        <f t="shared" si="5"/>
        <v>495</v>
      </c>
      <c r="L54" s="99">
        <v>372.18599999999998</v>
      </c>
      <c r="M54" s="100">
        <f t="shared" si="6"/>
        <v>37.218600000000002</v>
      </c>
      <c r="N54" s="100">
        <f t="shared" si="7"/>
        <v>409.40459999999996</v>
      </c>
      <c r="O54" s="101" t="str">
        <f t="shared" si="8"/>
        <v>Completed</v>
      </c>
      <c r="P54" s="81">
        <f t="shared" si="9"/>
        <v>2</v>
      </c>
    </row>
    <row r="55" spans="1:16" x14ac:dyDescent="0.25">
      <c r="A55" s="81">
        <v>54</v>
      </c>
      <c r="B55" s="94">
        <v>13</v>
      </c>
      <c r="C55" s="94" t="s">
        <v>961</v>
      </c>
      <c r="D55" s="81" t="s">
        <v>210</v>
      </c>
      <c r="E55" s="95">
        <v>45266</v>
      </c>
      <c r="F55" s="103">
        <v>6017353452</v>
      </c>
      <c r="G55" s="132" t="s">
        <v>962</v>
      </c>
      <c r="H55" s="98">
        <v>45386</v>
      </c>
      <c r="I55" s="99">
        <v>14700</v>
      </c>
      <c r="J55" s="100">
        <v>1470</v>
      </c>
      <c r="K55" s="100">
        <f t="shared" si="5"/>
        <v>16170</v>
      </c>
      <c r="L55" s="99">
        <v>11673.834000000001</v>
      </c>
      <c r="M55" s="100">
        <f t="shared" si="6"/>
        <v>1167.3834000000002</v>
      </c>
      <c r="N55" s="100">
        <f t="shared" si="7"/>
        <v>12841.217400000001</v>
      </c>
      <c r="O55" s="101" t="str">
        <f t="shared" si="8"/>
        <v>Completed</v>
      </c>
      <c r="P55" s="81">
        <f t="shared" si="9"/>
        <v>4</v>
      </c>
    </row>
    <row r="56" spans="1:16" x14ac:dyDescent="0.25">
      <c r="A56" s="81">
        <v>55</v>
      </c>
      <c r="B56" s="94">
        <v>13</v>
      </c>
      <c r="C56" s="94" t="s">
        <v>963</v>
      </c>
      <c r="D56" s="81" t="s">
        <v>67</v>
      </c>
      <c r="E56" s="95">
        <v>44977</v>
      </c>
      <c r="F56" s="141" t="s">
        <v>964</v>
      </c>
      <c r="G56" s="142" t="s">
        <v>965</v>
      </c>
      <c r="H56" s="98">
        <v>45391</v>
      </c>
      <c r="I56" s="99">
        <v>300.25</v>
      </c>
      <c r="J56" s="100">
        <v>30.025000000000002</v>
      </c>
      <c r="K56" s="100">
        <f t="shared" si="5"/>
        <v>330.27499999999998</v>
      </c>
      <c r="L56" s="99">
        <v>345</v>
      </c>
      <c r="M56" s="100">
        <f t="shared" si="6"/>
        <v>34.5</v>
      </c>
      <c r="N56" s="100">
        <f t="shared" si="7"/>
        <v>379.5</v>
      </c>
      <c r="O56" s="101" t="str">
        <f t="shared" si="8"/>
        <v>Completed</v>
      </c>
      <c r="P56" s="81">
        <f t="shared" si="9"/>
        <v>4</v>
      </c>
    </row>
    <row r="57" spans="1:16" x14ac:dyDescent="0.25">
      <c r="A57" s="81">
        <v>56</v>
      </c>
      <c r="B57" s="94">
        <v>13</v>
      </c>
      <c r="C57" s="94" t="s">
        <v>966</v>
      </c>
      <c r="D57" s="81" t="s">
        <v>153</v>
      </c>
      <c r="E57" s="95">
        <v>44738</v>
      </c>
      <c r="F57" s="94">
        <v>6017359660</v>
      </c>
      <c r="G57" s="132" t="s">
        <v>967</v>
      </c>
      <c r="H57" s="98">
        <v>45475</v>
      </c>
      <c r="I57" s="99">
        <v>3960</v>
      </c>
      <c r="J57" s="100">
        <v>396</v>
      </c>
      <c r="K57" s="100">
        <f t="shared" si="5"/>
        <v>4356</v>
      </c>
      <c r="L57" s="99">
        <v>3054.0279999999998</v>
      </c>
      <c r="M57" s="100">
        <f t="shared" si="6"/>
        <v>305.40280000000001</v>
      </c>
      <c r="N57" s="100">
        <f t="shared" si="7"/>
        <v>3359.4307999999996</v>
      </c>
      <c r="O57" s="101" t="str">
        <f t="shared" si="8"/>
        <v>Completed</v>
      </c>
      <c r="P57" s="81">
        <f t="shared" si="9"/>
        <v>7</v>
      </c>
    </row>
    <row r="58" spans="1:16" x14ac:dyDescent="0.25">
      <c r="A58" s="81">
        <v>57</v>
      </c>
      <c r="B58" s="94">
        <v>13</v>
      </c>
      <c r="C58" s="94" t="s">
        <v>968</v>
      </c>
      <c r="D58" s="81" t="s">
        <v>969</v>
      </c>
      <c r="E58" s="95">
        <v>45349</v>
      </c>
      <c r="F58" s="94">
        <v>6017359661</v>
      </c>
      <c r="G58" s="132" t="s">
        <v>970</v>
      </c>
      <c r="H58" s="98">
        <v>45475</v>
      </c>
      <c r="I58" s="125">
        <v>15178.35</v>
      </c>
      <c r="J58" s="100">
        <v>1517.835</v>
      </c>
      <c r="K58" s="100">
        <f t="shared" si="5"/>
        <v>16696.185000000001</v>
      </c>
      <c r="L58" s="99">
        <v>12766.071</v>
      </c>
      <c r="M58" s="100">
        <f t="shared" si="6"/>
        <v>1276.6071000000002</v>
      </c>
      <c r="N58" s="100">
        <f t="shared" si="7"/>
        <v>14042.678100000001</v>
      </c>
      <c r="O58" s="101" t="str">
        <f t="shared" si="8"/>
        <v>Completed</v>
      </c>
      <c r="P58" s="81">
        <f t="shared" si="9"/>
        <v>7</v>
      </c>
    </row>
    <row r="59" spans="1:16" x14ac:dyDescent="0.25">
      <c r="A59" s="81">
        <v>58</v>
      </c>
      <c r="B59" s="94">
        <v>13</v>
      </c>
      <c r="C59" s="94" t="s">
        <v>971</v>
      </c>
      <c r="D59" s="46" t="s">
        <v>206</v>
      </c>
      <c r="E59" s="95">
        <v>45339</v>
      </c>
      <c r="F59" s="104">
        <v>6017355537</v>
      </c>
      <c r="G59" s="143" t="s">
        <v>972</v>
      </c>
      <c r="H59" s="98">
        <v>45409</v>
      </c>
      <c r="I59" s="99">
        <v>1470</v>
      </c>
      <c r="J59" s="100">
        <v>147</v>
      </c>
      <c r="K59" s="100">
        <f t="shared" si="5"/>
        <v>1617</v>
      </c>
      <c r="L59" s="99">
        <v>1160.3</v>
      </c>
      <c r="M59" s="100">
        <f t="shared" si="6"/>
        <v>116.03</v>
      </c>
      <c r="N59" s="100">
        <f t="shared" si="7"/>
        <v>1276.33</v>
      </c>
      <c r="O59" s="101" t="str">
        <f t="shared" si="8"/>
        <v>Completed</v>
      </c>
      <c r="P59" s="81">
        <f t="shared" si="9"/>
        <v>4</v>
      </c>
    </row>
    <row r="60" spans="1:16" x14ac:dyDescent="0.25">
      <c r="A60" s="81">
        <v>59</v>
      </c>
      <c r="B60" s="94">
        <v>13</v>
      </c>
      <c r="C60" s="94" t="s">
        <v>973</v>
      </c>
      <c r="D60" s="81" t="s">
        <v>836</v>
      </c>
      <c r="E60" s="95">
        <v>45384</v>
      </c>
      <c r="F60" s="97">
        <v>6017355538</v>
      </c>
      <c r="G60" s="144" t="s">
        <v>974</v>
      </c>
      <c r="H60" s="98">
        <v>45406</v>
      </c>
      <c r="I60" s="99">
        <v>681</v>
      </c>
      <c r="J60" s="100">
        <v>68.100000000000009</v>
      </c>
      <c r="K60" s="100">
        <f t="shared" si="5"/>
        <v>749.1</v>
      </c>
      <c r="L60" s="99">
        <v>525.17499999999995</v>
      </c>
      <c r="M60" s="100">
        <f t="shared" si="6"/>
        <v>52.517499999999998</v>
      </c>
      <c r="N60" s="100">
        <f t="shared" si="7"/>
        <v>577.6925</v>
      </c>
      <c r="O60" s="101" t="str">
        <f t="shared" si="8"/>
        <v>Completed</v>
      </c>
      <c r="P60" s="81">
        <f t="shared" si="9"/>
        <v>4</v>
      </c>
    </row>
    <row r="61" spans="1:16" x14ac:dyDescent="0.25">
      <c r="A61" s="81">
        <v>60</v>
      </c>
      <c r="B61" s="94">
        <v>13</v>
      </c>
      <c r="C61" s="94" t="s">
        <v>975</v>
      </c>
      <c r="D61" s="81" t="s">
        <v>52</v>
      </c>
      <c r="E61" s="95">
        <v>45341</v>
      </c>
      <c r="F61" s="94">
        <v>6017357610</v>
      </c>
      <c r="G61" s="145" t="s">
        <v>976</v>
      </c>
      <c r="H61" s="98">
        <v>45442</v>
      </c>
      <c r="I61" s="99">
        <v>1350</v>
      </c>
      <c r="J61" s="100">
        <v>135</v>
      </c>
      <c r="K61" s="100">
        <f t="shared" si="5"/>
        <v>1485</v>
      </c>
      <c r="L61" s="99">
        <v>1114.7180000000001</v>
      </c>
      <c r="M61" s="100">
        <f t="shared" si="6"/>
        <v>111.47180000000002</v>
      </c>
      <c r="N61" s="100">
        <f t="shared" si="7"/>
        <v>1226.1898000000001</v>
      </c>
      <c r="O61" s="101" t="str">
        <f t="shared" si="8"/>
        <v>Completed</v>
      </c>
      <c r="P61" s="81">
        <f t="shared" si="9"/>
        <v>5</v>
      </c>
    </row>
    <row r="62" spans="1:16" x14ac:dyDescent="0.25">
      <c r="A62" s="81">
        <v>61</v>
      </c>
      <c r="B62" s="94">
        <v>13</v>
      </c>
      <c r="C62" s="94" t="s">
        <v>977</v>
      </c>
      <c r="D62" s="81" t="s">
        <v>104</v>
      </c>
      <c r="E62" s="95">
        <v>45391</v>
      </c>
      <c r="F62" s="146">
        <v>6017357611</v>
      </c>
      <c r="G62" s="132" t="s">
        <v>978</v>
      </c>
      <c r="H62" s="98">
        <v>45442</v>
      </c>
      <c r="I62" s="99">
        <v>855</v>
      </c>
      <c r="J62" s="100">
        <v>85.5</v>
      </c>
      <c r="K62" s="100">
        <f t="shared" si="5"/>
        <v>940.5</v>
      </c>
      <c r="L62" s="99">
        <v>605.31700000000001</v>
      </c>
      <c r="M62" s="100">
        <f t="shared" si="6"/>
        <v>60.531700000000001</v>
      </c>
      <c r="N62" s="100">
        <f t="shared" si="7"/>
        <v>665.84870000000001</v>
      </c>
      <c r="O62" s="101" t="str">
        <f t="shared" si="8"/>
        <v>Completed</v>
      </c>
      <c r="P62" s="81">
        <f t="shared" si="9"/>
        <v>5</v>
      </c>
    </row>
    <row r="63" spans="1:16" x14ac:dyDescent="0.25">
      <c r="A63" s="81">
        <v>62</v>
      </c>
      <c r="B63" s="94">
        <v>13</v>
      </c>
      <c r="C63" s="94" t="s">
        <v>979</v>
      </c>
      <c r="D63" s="46" t="s">
        <v>206</v>
      </c>
      <c r="E63" s="95">
        <v>45339</v>
      </c>
      <c r="F63" s="146">
        <v>6017359662</v>
      </c>
      <c r="G63" s="132" t="s">
        <v>980</v>
      </c>
      <c r="H63" s="98">
        <v>45476</v>
      </c>
      <c r="I63" s="99">
        <v>1790.5</v>
      </c>
      <c r="J63" s="100">
        <v>179.05</v>
      </c>
      <c r="K63" s="100">
        <f t="shared" si="5"/>
        <v>1969.55</v>
      </c>
      <c r="L63" s="99">
        <v>1440.5039999999999</v>
      </c>
      <c r="M63" s="100">
        <f t="shared" si="6"/>
        <v>144.0504</v>
      </c>
      <c r="N63" s="100">
        <f t="shared" si="7"/>
        <v>1584.5544</v>
      </c>
      <c r="O63" s="101" t="str">
        <f t="shared" si="8"/>
        <v>Completed</v>
      </c>
      <c r="P63" s="81">
        <f t="shared" si="9"/>
        <v>7</v>
      </c>
    </row>
    <row r="64" spans="1:16" x14ac:dyDescent="0.25">
      <c r="A64" s="81">
        <v>63</v>
      </c>
      <c r="B64" s="94">
        <v>13</v>
      </c>
      <c r="C64" s="94" t="s">
        <v>981</v>
      </c>
      <c r="D64" s="46" t="s">
        <v>262</v>
      </c>
      <c r="E64" s="95">
        <v>45360</v>
      </c>
      <c r="F64" s="84" t="s">
        <v>982</v>
      </c>
      <c r="G64" s="94" t="s">
        <v>983</v>
      </c>
      <c r="H64" s="98">
        <v>45418</v>
      </c>
      <c r="I64" s="147">
        <v>19638</v>
      </c>
      <c r="J64" s="100">
        <v>1963.8000000000002</v>
      </c>
      <c r="K64" s="100">
        <f t="shared" si="5"/>
        <v>21601.8</v>
      </c>
      <c r="L64" s="99">
        <v>18000</v>
      </c>
      <c r="M64" s="100">
        <f t="shared" si="6"/>
        <v>1800</v>
      </c>
      <c r="N64" s="100">
        <f t="shared" si="7"/>
        <v>19800</v>
      </c>
      <c r="O64" s="101" t="str">
        <f t="shared" si="8"/>
        <v>Completed</v>
      </c>
      <c r="P64" s="81">
        <f t="shared" si="9"/>
        <v>5</v>
      </c>
    </row>
    <row r="65" spans="1:16" x14ac:dyDescent="0.25">
      <c r="A65" s="81">
        <v>64</v>
      </c>
      <c r="B65" s="94">
        <v>13</v>
      </c>
      <c r="C65" s="148" t="s">
        <v>984</v>
      </c>
      <c r="D65" s="81" t="s">
        <v>19</v>
      </c>
      <c r="E65" s="95">
        <v>45410</v>
      </c>
      <c r="F65" s="146">
        <v>6017361108</v>
      </c>
      <c r="G65" s="132" t="s">
        <v>985</v>
      </c>
      <c r="H65" s="98">
        <v>45436</v>
      </c>
      <c r="I65" s="147">
        <v>5134</v>
      </c>
      <c r="J65" s="100">
        <v>513.4</v>
      </c>
      <c r="K65" s="100">
        <f t="shared" si="5"/>
        <v>5647.4</v>
      </c>
      <c r="L65" s="99">
        <v>4080.6129999999998</v>
      </c>
      <c r="M65" s="100">
        <f t="shared" si="6"/>
        <v>408.06130000000002</v>
      </c>
      <c r="N65" s="100">
        <f t="shared" si="7"/>
        <v>4488.6742999999997</v>
      </c>
      <c r="O65" s="101" t="str">
        <f t="shared" si="8"/>
        <v>Completed</v>
      </c>
      <c r="P65" s="81">
        <f t="shared" si="9"/>
        <v>5</v>
      </c>
    </row>
    <row r="66" spans="1:16" x14ac:dyDescent="0.25">
      <c r="A66" s="81">
        <v>65</v>
      </c>
      <c r="B66" s="94">
        <v>13</v>
      </c>
      <c r="C66" s="94" t="s">
        <v>986</v>
      </c>
      <c r="D66" s="81" t="s">
        <v>104</v>
      </c>
      <c r="E66" s="95">
        <v>45448</v>
      </c>
      <c r="F66" s="146">
        <v>6017357612</v>
      </c>
      <c r="G66" s="132" t="s">
        <v>987</v>
      </c>
      <c r="H66" s="98">
        <v>45442</v>
      </c>
      <c r="I66" s="147">
        <v>1240</v>
      </c>
      <c r="J66" s="100">
        <v>124</v>
      </c>
      <c r="K66" s="100">
        <f t="shared" si="5"/>
        <v>1364</v>
      </c>
      <c r="L66" s="99">
        <v>880.88900000000001</v>
      </c>
      <c r="M66" s="100">
        <f t="shared" ref="M66:M97" si="10">IFERROR(IF(L66=0,"",L66*0.1),"")</f>
        <v>88.08890000000001</v>
      </c>
      <c r="N66" s="100">
        <f t="shared" ref="N66:N97" si="11">IFERROR(IF(L66=0,"",(L66*0.1)+L66),"")</f>
        <v>968.97789999999998</v>
      </c>
      <c r="O66" s="101" t="str">
        <f t="shared" ref="O66:O73" si="12">IF(G66="","Pending Update",IF(G66="Yet to Invoice","WIP","Completed"))</f>
        <v>Completed</v>
      </c>
      <c r="P66" s="81">
        <f t="shared" ref="P66:P97" si="13">IF(H66="","",MONTH(H66))</f>
        <v>5</v>
      </c>
    </row>
    <row r="67" spans="1:16" x14ac:dyDescent="0.25">
      <c r="A67" s="81">
        <v>66</v>
      </c>
      <c r="B67" s="94">
        <v>13</v>
      </c>
      <c r="C67" s="94" t="s">
        <v>988</v>
      </c>
      <c r="D67" s="81" t="s">
        <v>208</v>
      </c>
      <c r="E67" s="95">
        <v>45424</v>
      </c>
      <c r="F67" s="146">
        <v>6017357613</v>
      </c>
      <c r="G67" s="132" t="s">
        <v>989</v>
      </c>
      <c r="H67" s="98">
        <v>45442</v>
      </c>
      <c r="I67" s="147">
        <v>472</v>
      </c>
      <c r="J67" s="100">
        <v>47.2</v>
      </c>
      <c r="K67" s="100">
        <f t="shared" si="5"/>
        <v>519.20000000000005</v>
      </c>
      <c r="L67" s="99">
        <v>378.32100000000003</v>
      </c>
      <c r="M67" s="100">
        <f t="shared" si="10"/>
        <v>37.832100000000004</v>
      </c>
      <c r="N67" s="100">
        <f t="shared" si="11"/>
        <v>416.15310000000005</v>
      </c>
      <c r="O67" s="101" t="str">
        <f t="shared" si="12"/>
        <v>Completed</v>
      </c>
      <c r="P67" s="81">
        <f t="shared" si="13"/>
        <v>5</v>
      </c>
    </row>
    <row r="68" spans="1:16" x14ac:dyDescent="0.25">
      <c r="A68" s="81">
        <v>67</v>
      </c>
      <c r="B68" s="94">
        <v>13</v>
      </c>
      <c r="C68" s="94" t="s">
        <v>990</v>
      </c>
      <c r="D68" s="46" t="s">
        <v>206</v>
      </c>
      <c r="E68" s="95">
        <v>45417</v>
      </c>
      <c r="F68" s="146">
        <v>6017359663</v>
      </c>
      <c r="G68" s="132" t="s">
        <v>991</v>
      </c>
      <c r="H68" s="98">
        <v>45477</v>
      </c>
      <c r="I68" s="147">
        <v>450</v>
      </c>
      <c r="J68" s="100">
        <v>45</v>
      </c>
      <c r="K68" s="100">
        <f t="shared" si="5"/>
        <v>495</v>
      </c>
      <c r="L68" s="99">
        <v>372.18599999999998</v>
      </c>
      <c r="M68" s="100">
        <f t="shared" si="10"/>
        <v>37.218600000000002</v>
      </c>
      <c r="N68" s="100">
        <f t="shared" si="11"/>
        <v>409.40459999999996</v>
      </c>
      <c r="O68" s="101" t="str">
        <f t="shared" si="12"/>
        <v>Completed</v>
      </c>
      <c r="P68" s="81">
        <f t="shared" si="13"/>
        <v>7</v>
      </c>
    </row>
    <row r="69" spans="1:16" x14ac:dyDescent="0.25">
      <c r="A69" s="81">
        <v>68</v>
      </c>
      <c r="B69" s="94">
        <v>13</v>
      </c>
      <c r="C69" s="94" t="s">
        <v>992</v>
      </c>
      <c r="D69" s="81" t="s">
        <v>826</v>
      </c>
      <c r="E69" s="95">
        <v>45420</v>
      </c>
      <c r="F69" s="146">
        <v>6017360427</v>
      </c>
      <c r="G69" s="121" t="s">
        <v>993</v>
      </c>
      <c r="H69" s="98">
        <v>45482</v>
      </c>
      <c r="I69" s="147">
        <v>2148</v>
      </c>
      <c r="J69" s="100">
        <v>0</v>
      </c>
      <c r="K69" s="100">
        <v>2148</v>
      </c>
      <c r="L69" s="99">
        <v>1953.1189999999999</v>
      </c>
      <c r="M69" s="100">
        <f t="shared" si="10"/>
        <v>195.31190000000001</v>
      </c>
      <c r="N69" s="100">
        <f t="shared" si="11"/>
        <v>2148.4308999999998</v>
      </c>
      <c r="O69" s="101" t="str">
        <f t="shared" si="12"/>
        <v>WIP</v>
      </c>
      <c r="P69" s="81">
        <f t="shared" si="13"/>
        <v>7</v>
      </c>
    </row>
    <row r="70" spans="1:16" x14ac:dyDescent="0.25">
      <c r="A70" s="81">
        <v>69</v>
      </c>
      <c r="B70" s="94">
        <v>13</v>
      </c>
      <c r="C70" s="94" t="s">
        <v>994</v>
      </c>
      <c r="D70" s="81" t="s">
        <v>197</v>
      </c>
      <c r="E70" s="95">
        <v>45427</v>
      </c>
      <c r="F70" s="146">
        <v>6017358317</v>
      </c>
      <c r="G70" s="132" t="s">
        <v>995</v>
      </c>
      <c r="H70" s="98">
        <v>45448</v>
      </c>
      <c r="I70" s="147">
        <v>1200</v>
      </c>
      <c r="J70" s="100">
        <v>120</v>
      </c>
      <c r="K70" s="100">
        <f t="shared" ref="K70:K101" si="14">IFERROR(IF(I70=0,"",(I70*0.1)+I70),"")</f>
        <v>1320</v>
      </c>
      <c r="L70" s="99">
        <v>690.83299999999997</v>
      </c>
      <c r="M70" s="100">
        <f t="shared" si="10"/>
        <v>69.083299999999994</v>
      </c>
      <c r="N70" s="100">
        <f t="shared" si="11"/>
        <v>759.91629999999998</v>
      </c>
      <c r="O70" s="101" t="str">
        <f t="shared" si="12"/>
        <v>Completed</v>
      </c>
      <c r="P70" s="81">
        <f t="shared" si="13"/>
        <v>6</v>
      </c>
    </row>
    <row r="71" spans="1:16" x14ac:dyDescent="0.25">
      <c r="A71" s="81">
        <v>70</v>
      </c>
      <c r="B71" s="94">
        <v>13</v>
      </c>
      <c r="C71" s="94" t="s">
        <v>996</v>
      </c>
      <c r="D71" s="46" t="s">
        <v>206</v>
      </c>
      <c r="E71" s="95">
        <v>45419</v>
      </c>
      <c r="F71" s="146">
        <v>6017358318</v>
      </c>
      <c r="G71" s="132" t="s">
        <v>997</v>
      </c>
      <c r="H71" s="98">
        <v>45448</v>
      </c>
      <c r="I71" s="147">
        <v>61.5</v>
      </c>
      <c r="J71" s="100">
        <v>6.15</v>
      </c>
      <c r="K71" s="100">
        <f t="shared" si="14"/>
        <v>67.650000000000006</v>
      </c>
      <c r="L71" s="99">
        <v>24.206</v>
      </c>
      <c r="M71" s="100">
        <f t="shared" si="10"/>
        <v>2.4206000000000003</v>
      </c>
      <c r="N71" s="100">
        <f t="shared" si="11"/>
        <v>26.6266</v>
      </c>
      <c r="O71" s="101" t="str">
        <f t="shared" si="12"/>
        <v>Completed</v>
      </c>
      <c r="P71" s="81">
        <f t="shared" si="13"/>
        <v>6</v>
      </c>
    </row>
    <row r="72" spans="1:16" x14ac:dyDescent="0.25">
      <c r="A72" s="81">
        <v>71</v>
      </c>
      <c r="B72" s="94">
        <v>13</v>
      </c>
      <c r="C72" s="94" t="s">
        <v>998</v>
      </c>
      <c r="D72" s="81" t="s">
        <v>885</v>
      </c>
      <c r="E72" s="95">
        <v>45339</v>
      </c>
      <c r="F72" s="146">
        <v>6017358319</v>
      </c>
      <c r="G72" s="132" t="s">
        <v>999</v>
      </c>
      <c r="H72" s="98">
        <v>45447</v>
      </c>
      <c r="I72" s="147">
        <v>340.7</v>
      </c>
      <c r="J72" s="100">
        <v>34.07</v>
      </c>
      <c r="K72" s="100">
        <f t="shared" si="14"/>
        <v>374.77</v>
      </c>
      <c r="L72" s="99">
        <v>291.18400000000003</v>
      </c>
      <c r="M72" s="100">
        <f t="shared" si="10"/>
        <v>29.118400000000005</v>
      </c>
      <c r="N72" s="100">
        <f t="shared" si="11"/>
        <v>320.30240000000003</v>
      </c>
      <c r="O72" s="101" t="str">
        <f t="shared" si="12"/>
        <v>Completed</v>
      </c>
      <c r="P72" s="81">
        <f t="shared" si="13"/>
        <v>6</v>
      </c>
    </row>
    <row r="73" spans="1:16" x14ac:dyDescent="0.25">
      <c r="A73" s="81">
        <v>72</v>
      </c>
      <c r="B73" s="94">
        <v>14</v>
      </c>
      <c r="C73" s="94" t="s">
        <v>1000</v>
      </c>
      <c r="D73" s="46" t="s">
        <v>1001</v>
      </c>
      <c r="E73" s="95">
        <v>45421</v>
      </c>
      <c r="F73" s="146">
        <v>6017361109</v>
      </c>
      <c r="G73" s="132" t="s">
        <v>1002</v>
      </c>
      <c r="H73" s="98">
        <v>45500</v>
      </c>
      <c r="I73" s="147">
        <v>1054</v>
      </c>
      <c r="J73" s="100">
        <v>105.4</v>
      </c>
      <c r="K73" s="100">
        <f t="shared" si="14"/>
        <v>1159.4000000000001</v>
      </c>
      <c r="L73" s="99">
        <v>898.61400000000003</v>
      </c>
      <c r="M73" s="100">
        <f t="shared" si="10"/>
        <v>89.861400000000003</v>
      </c>
      <c r="N73" s="100">
        <f t="shared" si="11"/>
        <v>988.47540000000004</v>
      </c>
      <c r="O73" s="101" t="str">
        <f t="shared" si="12"/>
        <v>Completed</v>
      </c>
      <c r="P73" s="81">
        <f t="shared" si="13"/>
        <v>7</v>
      </c>
    </row>
    <row r="74" spans="1:16" x14ac:dyDescent="0.25">
      <c r="A74" s="81">
        <v>73</v>
      </c>
      <c r="B74" s="94">
        <v>14</v>
      </c>
      <c r="C74" s="94" t="s">
        <v>1003</v>
      </c>
      <c r="D74" s="46" t="s">
        <v>262</v>
      </c>
      <c r="E74" s="95">
        <v>45402</v>
      </c>
      <c r="F74" s="146">
        <v>6017370710</v>
      </c>
      <c r="G74" s="149" t="s">
        <v>1004</v>
      </c>
      <c r="H74" s="98">
        <v>45657</v>
      </c>
      <c r="I74" s="147">
        <v>6674</v>
      </c>
      <c r="J74" s="126">
        <v>667.40000000000009</v>
      </c>
      <c r="K74" s="126">
        <f t="shared" si="14"/>
        <v>7341.4</v>
      </c>
      <c r="L74" s="125">
        <v>6135</v>
      </c>
      <c r="M74" s="126">
        <f t="shared" si="10"/>
        <v>613.5</v>
      </c>
      <c r="N74" s="126">
        <f t="shared" si="11"/>
        <v>6748.5</v>
      </c>
      <c r="O74" s="101" t="s">
        <v>782</v>
      </c>
      <c r="P74" s="81">
        <f t="shared" si="13"/>
        <v>12</v>
      </c>
    </row>
    <row r="75" spans="1:16" x14ac:dyDescent="0.25">
      <c r="A75" s="81">
        <v>74</v>
      </c>
      <c r="B75" s="94">
        <v>14</v>
      </c>
      <c r="C75" s="94" t="s">
        <v>1005</v>
      </c>
      <c r="D75" s="46" t="s">
        <v>206</v>
      </c>
      <c r="E75" s="95">
        <v>45424</v>
      </c>
      <c r="F75" s="146">
        <v>6017361110</v>
      </c>
      <c r="G75" s="132" t="s">
        <v>1002</v>
      </c>
      <c r="H75" s="98">
        <v>45498</v>
      </c>
      <c r="I75" s="147">
        <v>744</v>
      </c>
      <c r="J75" s="100">
        <v>74.400000000000006</v>
      </c>
      <c r="K75" s="100">
        <f t="shared" si="14"/>
        <v>818.4</v>
      </c>
      <c r="L75" s="99">
        <v>652.57500000000005</v>
      </c>
      <c r="M75" s="100">
        <f t="shared" si="10"/>
        <v>65.257500000000007</v>
      </c>
      <c r="N75" s="100">
        <f t="shared" si="11"/>
        <v>717.8325000000001</v>
      </c>
      <c r="O75" s="101" t="str">
        <f t="shared" ref="O75:O122" si="15">IF(G75="","Pending Update",IF(G75="Yet to Invoice","WIP","Completed"))</f>
        <v>Completed</v>
      </c>
      <c r="P75" s="81">
        <f t="shared" si="13"/>
        <v>7</v>
      </c>
    </row>
    <row r="76" spans="1:16" x14ac:dyDescent="0.25">
      <c r="A76" s="81">
        <v>75</v>
      </c>
      <c r="B76" s="94">
        <v>14</v>
      </c>
      <c r="C76" s="94" t="s">
        <v>1006</v>
      </c>
      <c r="D76" s="81" t="s">
        <v>153</v>
      </c>
      <c r="E76" s="95">
        <v>45364</v>
      </c>
      <c r="F76" s="146">
        <v>6017361111</v>
      </c>
      <c r="G76" s="132" t="s">
        <v>1007</v>
      </c>
      <c r="H76" s="98">
        <v>45496</v>
      </c>
      <c r="I76" s="147">
        <v>2914</v>
      </c>
      <c r="J76" s="100">
        <v>291.40000000000003</v>
      </c>
      <c r="K76" s="100">
        <f t="shared" si="14"/>
        <v>3205.4</v>
      </c>
      <c r="L76" s="99">
        <v>2372.2399999999998</v>
      </c>
      <c r="M76" s="100">
        <f t="shared" si="10"/>
        <v>237.22399999999999</v>
      </c>
      <c r="N76" s="100">
        <f t="shared" si="11"/>
        <v>2609.4639999999999</v>
      </c>
      <c r="O76" s="101" t="str">
        <f t="shared" si="15"/>
        <v>Completed</v>
      </c>
      <c r="P76" s="81">
        <f t="shared" si="13"/>
        <v>7</v>
      </c>
    </row>
    <row r="77" spans="1:16" x14ac:dyDescent="0.25">
      <c r="A77" s="81">
        <v>76</v>
      </c>
      <c r="B77" s="81">
        <v>14</v>
      </c>
      <c r="C77" s="94" t="s">
        <v>1008</v>
      </c>
      <c r="D77" s="46" t="s">
        <v>855</v>
      </c>
      <c r="E77" s="84">
        <v>45431</v>
      </c>
      <c r="F77" s="146">
        <v>6017358320</v>
      </c>
      <c r="G77" s="132" t="s">
        <v>1009</v>
      </c>
      <c r="H77" s="98">
        <v>45448</v>
      </c>
      <c r="I77" s="147">
        <v>2850</v>
      </c>
      <c r="J77" s="100">
        <v>285</v>
      </c>
      <c r="K77" s="100">
        <f t="shared" si="14"/>
        <v>3135</v>
      </c>
      <c r="L77" s="99">
        <v>2399.4989999999998</v>
      </c>
      <c r="M77" s="100">
        <f t="shared" si="10"/>
        <v>239.94989999999999</v>
      </c>
      <c r="N77" s="100">
        <f t="shared" si="11"/>
        <v>2639.4488999999999</v>
      </c>
      <c r="O77" s="101" t="str">
        <f t="shared" si="15"/>
        <v>Completed</v>
      </c>
      <c r="P77" s="81">
        <f t="shared" si="13"/>
        <v>6</v>
      </c>
    </row>
    <row r="78" spans="1:16" x14ac:dyDescent="0.25">
      <c r="A78" s="81">
        <v>77</v>
      </c>
      <c r="B78" s="94">
        <v>14</v>
      </c>
      <c r="C78" s="94" t="s">
        <v>1010</v>
      </c>
      <c r="D78" s="46" t="s">
        <v>74</v>
      </c>
      <c r="E78" s="95">
        <v>45336</v>
      </c>
      <c r="F78" s="146">
        <v>6017359664</v>
      </c>
      <c r="G78" s="132" t="s">
        <v>1011</v>
      </c>
      <c r="H78" s="98">
        <v>45495</v>
      </c>
      <c r="I78" s="147">
        <v>3325</v>
      </c>
      <c r="J78" s="100">
        <v>332.5</v>
      </c>
      <c r="K78" s="100">
        <f t="shared" si="14"/>
        <v>3657.5</v>
      </c>
      <c r="L78" s="99">
        <v>2766.7</v>
      </c>
      <c r="M78" s="100">
        <f t="shared" si="10"/>
        <v>276.67</v>
      </c>
      <c r="N78" s="100">
        <f t="shared" si="11"/>
        <v>3043.37</v>
      </c>
      <c r="O78" s="101" t="str">
        <f t="shared" si="15"/>
        <v>Completed</v>
      </c>
      <c r="P78" s="81">
        <f t="shared" si="13"/>
        <v>7</v>
      </c>
    </row>
    <row r="79" spans="1:16" x14ac:dyDescent="0.25">
      <c r="A79" s="81">
        <v>78</v>
      </c>
      <c r="B79" s="94">
        <v>14</v>
      </c>
      <c r="C79" s="94" t="s">
        <v>1012</v>
      </c>
      <c r="D79" s="46" t="s">
        <v>194</v>
      </c>
      <c r="E79" s="95">
        <v>45405</v>
      </c>
      <c r="F79" s="146">
        <v>6037518885</v>
      </c>
      <c r="G79" s="132" t="s">
        <v>1013</v>
      </c>
      <c r="H79" s="98">
        <v>45445</v>
      </c>
      <c r="I79" s="147">
        <v>1115</v>
      </c>
      <c r="J79" s="100">
        <v>111.5</v>
      </c>
      <c r="K79" s="100">
        <f t="shared" si="14"/>
        <v>1226.5</v>
      </c>
      <c r="L79" s="99">
        <v>955.01800000000003</v>
      </c>
      <c r="M79" s="100">
        <f t="shared" si="10"/>
        <v>95.501800000000003</v>
      </c>
      <c r="N79" s="100">
        <f t="shared" si="11"/>
        <v>1050.5198</v>
      </c>
      <c r="O79" s="101" t="str">
        <f t="shared" si="15"/>
        <v>Completed</v>
      </c>
      <c r="P79" s="81">
        <f t="shared" si="13"/>
        <v>6</v>
      </c>
    </row>
    <row r="80" spans="1:16" x14ac:dyDescent="0.25">
      <c r="A80" s="81">
        <v>79</v>
      </c>
      <c r="B80" s="94">
        <v>14</v>
      </c>
      <c r="C80" s="94" t="s">
        <v>1014</v>
      </c>
      <c r="D80" s="81" t="s">
        <v>52</v>
      </c>
      <c r="E80" s="95">
        <v>45470</v>
      </c>
      <c r="F80" s="146">
        <v>6017359665</v>
      </c>
      <c r="G80" s="132" t="s">
        <v>1015</v>
      </c>
      <c r="H80" s="98">
        <v>45447</v>
      </c>
      <c r="I80" s="147">
        <v>768</v>
      </c>
      <c r="J80" s="100">
        <v>76.800000000000011</v>
      </c>
      <c r="K80" s="100">
        <f t="shared" si="14"/>
        <v>844.8</v>
      </c>
      <c r="L80" s="99">
        <v>455.76600000000002</v>
      </c>
      <c r="M80" s="100">
        <f t="shared" si="10"/>
        <v>45.576600000000006</v>
      </c>
      <c r="N80" s="100">
        <f t="shared" si="11"/>
        <v>501.3426</v>
      </c>
      <c r="O80" s="101" t="str">
        <f t="shared" si="15"/>
        <v>Completed</v>
      </c>
      <c r="P80" s="81">
        <f t="shared" si="13"/>
        <v>6</v>
      </c>
    </row>
    <row r="81" spans="1:16" x14ac:dyDescent="0.25">
      <c r="A81" s="81">
        <v>80</v>
      </c>
      <c r="B81" s="94">
        <v>14</v>
      </c>
      <c r="C81" s="94" t="s">
        <v>1016</v>
      </c>
      <c r="D81" s="46" t="s">
        <v>620</v>
      </c>
      <c r="E81" s="95">
        <v>45432</v>
      </c>
      <c r="F81" s="146">
        <v>6017362929</v>
      </c>
      <c r="G81" s="132" t="s">
        <v>1017</v>
      </c>
      <c r="H81" s="98">
        <v>45523</v>
      </c>
      <c r="I81" s="147">
        <v>1580</v>
      </c>
      <c r="J81" s="100">
        <v>158</v>
      </c>
      <c r="K81" s="100">
        <f t="shared" si="14"/>
        <v>1738</v>
      </c>
      <c r="L81" s="99">
        <v>1368.539</v>
      </c>
      <c r="M81" s="100">
        <f t="shared" si="10"/>
        <v>136.85390000000001</v>
      </c>
      <c r="N81" s="100">
        <f t="shared" si="11"/>
        <v>1505.3929000000001</v>
      </c>
      <c r="O81" s="101" t="str">
        <f t="shared" si="15"/>
        <v>Completed</v>
      </c>
      <c r="P81" s="81">
        <f t="shared" si="13"/>
        <v>8</v>
      </c>
    </row>
    <row r="82" spans="1:16" x14ac:dyDescent="0.25">
      <c r="A82" s="81">
        <v>81</v>
      </c>
      <c r="B82" s="94">
        <v>14</v>
      </c>
      <c r="C82" s="94" t="s">
        <v>1018</v>
      </c>
      <c r="D82" s="46" t="s">
        <v>206</v>
      </c>
      <c r="E82" s="95">
        <v>45445</v>
      </c>
      <c r="F82" s="146">
        <v>6017361112</v>
      </c>
      <c r="G82" s="132" t="s">
        <v>1019</v>
      </c>
      <c r="H82" s="98">
        <v>45498</v>
      </c>
      <c r="I82" s="147">
        <v>480</v>
      </c>
      <c r="J82" s="100">
        <v>48</v>
      </c>
      <c r="K82" s="100">
        <f t="shared" si="14"/>
        <v>528</v>
      </c>
      <c r="L82" s="99">
        <v>418.13</v>
      </c>
      <c r="M82" s="100">
        <f t="shared" si="10"/>
        <v>41.813000000000002</v>
      </c>
      <c r="N82" s="100">
        <f t="shared" si="11"/>
        <v>459.94299999999998</v>
      </c>
      <c r="O82" s="101" t="str">
        <f t="shared" si="15"/>
        <v>Completed</v>
      </c>
      <c r="P82" s="81">
        <f t="shared" si="13"/>
        <v>7</v>
      </c>
    </row>
    <row r="83" spans="1:16" x14ac:dyDescent="0.25">
      <c r="A83" s="81">
        <v>82</v>
      </c>
      <c r="B83" s="94">
        <v>14</v>
      </c>
      <c r="C83" s="94" t="s">
        <v>1020</v>
      </c>
      <c r="D83" s="81" t="s">
        <v>104</v>
      </c>
      <c r="E83" s="95">
        <v>45445</v>
      </c>
      <c r="F83" s="146">
        <v>6017361113</v>
      </c>
      <c r="G83" s="132" t="s">
        <v>1021</v>
      </c>
      <c r="H83" s="98">
        <v>45495</v>
      </c>
      <c r="I83" s="147">
        <v>1024</v>
      </c>
      <c r="J83" s="100">
        <v>102.4</v>
      </c>
      <c r="K83" s="100">
        <f t="shared" si="14"/>
        <v>1126.4000000000001</v>
      </c>
      <c r="L83" s="99">
        <v>854.69</v>
      </c>
      <c r="M83" s="100">
        <f t="shared" si="10"/>
        <v>85.469000000000008</v>
      </c>
      <c r="N83" s="100">
        <f t="shared" si="11"/>
        <v>940.15900000000011</v>
      </c>
      <c r="O83" s="101" t="str">
        <f t="shared" si="15"/>
        <v>Completed</v>
      </c>
      <c r="P83" s="81">
        <f t="shared" si="13"/>
        <v>7</v>
      </c>
    </row>
    <row r="84" spans="1:16" x14ac:dyDescent="0.25">
      <c r="A84" s="81">
        <v>83</v>
      </c>
      <c r="B84" s="94">
        <v>14</v>
      </c>
      <c r="C84" s="94" t="s">
        <v>1022</v>
      </c>
      <c r="D84" s="46" t="s">
        <v>262</v>
      </c>
      <c r="E84" s="95">
        <v>45435</v>
      </c>
      <c r="F84" s="146">
        <v>6017359666</v>
      </c>
      <c r="G84" s="132" t="s">
        <v>1023</v>
      </c>
      <c r="H84" s="98">
        <v>45487</v>
      </c>
      <c r="I84" s="147">
        <v>3479</v>
      </c>
      <c r="J84" s="100">
        <v>347.90000000000003</v>
      </c>
      <c r="K84" s="100">
        <f t="shared" si="14"/>
        <v>3826.9</v>
      </c>
      <c r="L84" s="99">
        <v>1584.732</v>
      </c>
      <c r="M84" s="100">
        <f t="shared" si="10"/>
        <v>158.47320000000002</v>
      </c>
      <c r="N84" s="100">
        <f t="shared" si="11"/>
        <v>1743.2051999999999</v>
      </c>
      <c r="O84" s="101" t="str">
        <f t="shared" si="15"/>
        <v>Completed</v>
      </c>
      <c r="P84" s="81">
        <f t="shared" si="13"/>
        <v>7</v>
      </c>
    </row>
    <row r="85" spans="1:16" x14ac:dyDescent="0.25">
      <c r="A85" s="81">
        <v>84</v>
      </c>
      <c r="B85" s="94">
        <v>14</v>
      </c>
      <c r="C85" s="94" t="s">
        <v>1024</v>
      </c>
      <c r="D85" s="81" t="s">
        <v>132</v>
      </c>
      <c r="E85" s="95">
        <v>45434</v>
      </c>
      <c r="F85" s="146">
        <v>6017359667</v>
      </c>
      <c r="G85" s="132" t="s">
        <v>1025</v>
      </c>
      <c r="H85" s="98">
        <v>45477</v>
      </c>
      <c r="I85" s="147">
        <v>2700</v>
      </c>
      <c r="J85" s="100">
        <v>270</v>
      </c>
      <c r="K85" s="100">
        <f t="shared" si="14"/>
        <v>2970</v>
      </c>
      <c r="L85" s="99">
        <v>2337.3629999999998</v>
      </c>
      <c r="M85" s="100">
        <f t="shared" si="10"/>
        <v>233.7363</v>
      </c>
      <c r="N85" s="100">
        <f t="shared" si="11"/>
        <v>2571.0992999999999</v>
      </c>
      <c r="O85" s="101" t="str">
        <f t="shared" si="15"/>
        <v>Completed</v>
      </c>
      <c r="P85" s="81">
        <f t="shared" si="13"/>
        <v>7</v>
      </c>
    </row>
    <row r="86" spans="1:16" x14ac:dyDescent="0.25">
      <c r="A86" s="81">
        <v>85</v>
      </c>
      <c r="B86" s="94">
        <v>14</v>
      </c>
      <c r="C86" s="94" t="s">
        <v>1026</v>
      </c>
      <c r="D86" s="81" t="s">
        <v>52</v>
      </c>
      <c r="E86" s="95">
        <v>45449</v>
      </c>
      <c r="F86" s="146">
        <v>6017359668</v>
      </c>
      <c r="G86" s="132" t="s">
        <v>1027</v>
      </c>
      <c r="H86" s="98">
        <v>45478</v>
      </c>
      <c r="I86" s="147">
        <v>1550</v>
      </c>
      <c r="J86" s="100">
        <v>155</v>
      </c>
      <c r="K86" s="100">
        <f t="shared" si="14"/>
        <v>1705</v>
      </c>
      <c r="L86" s="99">
        <v>1313.5530000000001</v>
      </c>
      <c r="M86" s="100">
        <f t="shared" si="10"/>
        <v>131.35530000000003</v>
      </c>
      <c r="N86" s="100">
        <f t="shared" si="11"/>
        <v>1444.9083000000001</v>
      </c>
      <c r="O86" s="101" t="str">
        <f t="shared" si="15"/>
        <v>Completed</v>
      </c>
      <c r="P86" s="81">
        <f t="shared" si="13"/>
        <v>7</v>
      </c>
    </row>
    <row r="87" spans="1:16" x14ac:dyDescent="0.25">
      <c r="A87" s="81">
        <v>86</v>
      </c>
      <c r="B87" s="94">
        <v>14</v>
      </c>
      <c r="C87" s="94" t="s">
        <v>1028</v>
      </c>
      <c r="D87" s="46" t="s">
        <v>194</v>
      </c>
      <c r="E87" s="95">
        <v>45451</v>
      </c>
      <c r="F87" s="146">
        <v>6017361114</v>
      </c>
      <c r="G87" s="132" t="s">
        <v>1029</v>
      </c>
      <c r="H87" s="98">
        <v>45498</v>
      </c>
      <c r="I87" s="147">
        <v>2211</v>
      </c>
      <c r="J87" s="100">
        <v>221.10000000000002</v>
      </c>
      <c r="K87" s="100">
        <f t="shared" si="14"/>
        <v>2432.1</v>
      </c>
      <c r="L87" s="99">
        <v>2070.0909999999999</v>
      </c>
      <c r="M87" s="100">
        <f t="shared" si="10"/>
        <v>207.00909999999999</v>
      </c>
      <c r="N87" s="100">
        <f t="shared" si="11"/>
        <v>2277.1000999999997</v>
      </c>
      <c r="O87" s="101" t="str">
        <f t="shared" si="15"/>
        <v>Completed</v>
      </c>
      <c r="P87" s="81">
        <f t="shared" si="13"/>
        <v>7</v>
      </c>
    </row>
    <row r="88" spans="1:16" x14ac:dyDescent="0.25">
      <c r="A88" s="81">
        <v>87</v>
      </c>
      <c r="B88" s="94">
        <v>14</v>
      </c>
      <c r="C88" s="94" t="s">
        <v>1030</v>
      </c>
      <c r="D88" s="81" t="s">
        <v>132</v>
      </c>
      <c r="E88" s="95">
        <v>45462</v>
      </c>
      <c r="F88" s="146">
        <v>6017361115</v>
      </c>
      <c r="G88" s="132" t="s">
        <v>1031</v>
      </c>
      <c r="H88" s="98">
        <v>45495</v>
      </c>
      <c r="I88" s="147">
        <v>360</v>
      </c>
      <c r="J88" s="100">
        <v>36</v>
      </c>
      <c r="K88" s="100">
        <f t="shared" si="14"/>
        <v>396</v>
      </c>
      <c r="L88" s="147">
        <v>319.56</v>
      </c>
      <c r="M88" s="100">
        <f t="shared" si="10"/>
        <v>31.956000000000003</v>
      </c>
      <c r="N88" s="100">
        <f t="shared" si="11"/>
        <v>351.51600000000002</v>
      </c>
      <c r="O88" s="101" t="str">
        <f t="shared" si="15"/>
        <v>Completed</v>
      </c>
      <c r="P88" s="81">
        <f t="shared" si="13"/>
        <v>7</v>
      </c>
    </row>
    <row r="89" spans="1:16" x14ac:dyDescent="0.25">
      <c r="A89" s="81">
        <v>88</v>
      </c>
      <c r="B89" s="94">
        <v>14</v>
      </c>
      <c r="C89" s="94" t="s">
        <v>1032</v>
      </c>
      <c r="D89" s="46" t="s">
        <v>104</v>
      </c>
      <c r="E89" s="95">
        <v>45465</v>
      </c>
      <c r="F89" s="146">
        <v>6017361116</v>
      </c>
      <c r="G89" s="132" t="s">
        <v>1033</v>
      </c>
      <c r="H89" s="98">
        <v>45495</v>
      </c>
      <c r="I89" s="147">
        <v>540</v>
      </c>
      <c r="J89" s="100">
        <v>54</v>
      </c>
      <c r="K89" s="100">
        <f t="shared" si="14"/>
        <v>594</v>
      </c>
      <c r="L89" s="147">
        <v>433.36</v>
      </c>
      <c r="M89" s="100">
        <f t="shared" si="10"/>
        <v>43.336000000000006</v>
      </c>
      <c r="N89" s="100">
        <f t="shared" si="11"/>
        <v>476.69600000000003</v>
      </c>
      <c r="O89" s="101" t="str">
        <f t="shared" si="15"/>
        <v>Completed</v>
      </c>
      <c r="P89" s="81">
        <f t="shared" si="13"/>
        <v>7</v>
      </c>
    </row>
    <row r="90" spans="1:16" x14ac:dyDescent="0.25">
      <c r="A90" s="81">
        <v>89</v>
      </c>
      <c r="B90" s="94">
        <v>14</v>
      </c>
      <c r="C90" s="94" t="s">
        <v>1034</v>
      </c>
      <c r="D90" s="81" t="s">
        <v>101</v>
      </c>
      <c r="E90" s="95">
        <v>45449</v>
      </c>
      <c r="F90" s="146">
        <v>6017364591</v>
      </c>
      <c r="G90" s="132" t="s">
        <v>1035</v>
      </c>
      <c r="H90" s="98">
        <v>45533</v>
      </c>
      <c r="I90" s="147">
        <v>5620</v>
      </c>
      <c r="J90" s="126">
        <v>562</v>
      </c>
      <c r="K90" s="126">
        <f t="shared" si="14"/>
        <v>6182</v>
      </c>
      <c r="L90" s="147">
        <v>5142.3590000000004</v>
      </c>
      <c r="M90" s="126">
        <f t="shared" si="10"/>
        <v>514.23590000000002</v>
      </c>
      <c r="N90" s="126">
        <f t="shared" si="11"/>
        <v>5656.5949000000001</v>
      </c>
      <c r="O90" s="101" t="str">
        <f t="shared" si="15"/>
        <v>Completed</v>
      </c>
      <c r="P90" s="81">
        <f t="shared" si="13"/>
        <v>8</v>
      </c>
    </row>
    <row r="91" spans="1:16" x14ac:dyDescent="0.25">
      <c r="A91" s="81">
        <v>90</v>
      </c>
      <c r="B91" s="150">
        <v>14</v>
      </c>
      <c r="C91" s="94" t="s">
        <v>1036</v>
      </c>
      <c r="D91" s="46" t="s">
        <v>202</v>
      </c>
      <c r="E91" s="95">
        <v>45452</v>
      </c>
      <c r="F91" s="146">
        <v>6017361117</v>
      </c>
      <c r="G91" s="132" t="s">
        <v>1037</v>
      </c>
      <c r="H91" s="98">
        <v>45498</v>
      </c>
      <c r="I91" s="147">
        <v>320</v>
      </c>
      <c r="J91" s="100">
        <v>32</v>
      </c>
      <c r="K91" s="100">
        <f t="shared" si="14"/>
        <v>352</v>
      </c>
      <c r="L91" s="147">
        <v>226.08500000000001</v>
      </c>
      <c r="M91" s="100">
        <f t="shared" si="10"/>
        <v>22.608500000000003</v>
      </c>
      <c r="N91" s="100">
        <f t="shared" si="11"/>
        <v>248.6935</v>
      </c>
      <c r="O91" s="101" t="str">
        <f t="shared" si="15"/>
        <v>Completed</v>
      </c>
      <c r="P91" s="81">
        <f t="shared" si="13"/>
        <v>7</v>
      </c>
    </row>
    <row r="92" spans="1:16" x14ac:dyDescent="0.25">
      <c r="A92" s="81">
        <v>91</v>
      </c>
      <c r="B92" s="94">
        <v>14</v>
      </c>
      <c r="C92" s="94" t="s">
        <v>1038</v>
      </c>
      <c r="D92" s="81" t="s">
        <v>27</v>
      </c>
      <c r="E92" s="95">
        <v>45462</v>
      </c>
      <c r="F92" s="146">
        <v>6017361118</v>
      </c>
      <c r="G92" s="132" t="s">
        <v>1039</v>
      </c>
      <c r="H92" s="98">
        <v>45500</v>
      </c>
      <c r="I92" s="147">
        <v>398</v>
      </c>
      <c r="J92" s="100">
        <v>39.800000000000004</v>
      </c>
      <c r="K92" s="100">
        <f t="shared" si="14"/>
        <v>437.8</v>
      </c>
      <c r="L92" s="99">
        <v>356.73</v>
      </c>
      <c r="M92" s="100">
        <f t="shared" si="10"/>
        <v>35.673000000000002</v>
      </c>
      <c r="N92" s="100">
        <f t="shared" si="11"/>
        <v>392.40300000000002</v>
      </c>
      <c r="O92" s="101" t="str">
        <f t="shared" si="15"/>
        <v>Completed</v>
      </c>
      <c r="P92" s="81">
        <f t="shared" si="13"/>
        <v>7</v>
      </c>
    </row>
    <row r="93" spans="1:16" x14ac:dyDescent="0.25">
      <c r="A93" s="81">
        <v>92</v>
      </c>
      <c r="B93" s="94">
        <v>15</v>
      </c>
      <c r="C93" s="94" t="s">
        <v>1040</v>
      </c>
      <c r="D93" s="81" t="s">
        <v>27</v>
      </c>
      <c r="E93" s="95">
        <v>45462</v>
      </c>
      <c r="F93" s="146">
        <v>6017361119</v>
      </c>
      <c r="G93" s="132" t="s">
        <v>1041</v>
      </c>
      <c r="H93" s="98">
        <v>45500</v>
      </c>
      <c r="I93" s="147">
        <v>313</v>
      </c>
      <c r="J93" s="100">
        <v>31.3</v>
      </c>
      <c r="K93" s="100">
        <f t="shared" si="14"/>
        <v>344.3</v>
      </c>
      <c r="L93" s="99">
        <v>259.04399999999998</v>
      </c>
      <c r="M93" s="100">
        <f t="shared" si="10"/>
        <v>25.904399999999999</v>
      </c>
      <c r="N93" s="100">
        <f t="shared" si="11"/>
        <v>284.94839999999999</v>
      </c>
      <c r="O93" s="101" t="str">
        <f t="shared" si="15"/>
        <v>Completed</v>
      </c>
      <c r="P93" s="81">
        <f t="shared" si="13"/>
        <v>7</v>
      </c>
    </row>
    <row r="94" spans="1:16" x14ac:dyDescent="0.25">
      <c r="A94" s="151">
        <v>93</v>
      </c>
      <c r="B94" s="152">
        <v>15</v>
      </c>
      <c r="C94" s="152" t="s">
        <v>1042</v>
      </c>
      <c r="D94" s="81" t="s">
        <v>153</v>
      </c>
      <c r="E94" s="153">
        <v>45448</v>
      </c>
      <c r="F94" s="154">
        <v>6017365643</v>
      </c>
      <c r="G94" s="155" t="s">
        <v>1043</v>
      </c>
      <c r="H94" s="156">
        <v>45505</v>
      </c>
      <c r="I94" s="157">
        <v>2980</v>
      </c>
      <c r="J94" s="158">
        <v>298</v>
      </c>
      <c r="K94" s="158">
        <f t="shared" si="14"/>
        <v>3278</v>
      </c>
      <c r="L94" s="159">
        <v>2692.2910000000002</v>
      </c>
      <c r="M94" s="158">
        <f t="shared" si="10"/>
        <v>269.22910000000002</v>
      </c>
      <c r="N94" s="158">
        <f t="shared" si="11"/>
        <v>2961.5201000000002</v>
      </c>
      <c r="O94" s="101" t="str">
        <f t="shared" si="15"/>
        <v>Completed</v>
      </c>
      <c r="P94" s="81">
        <f t="shared" si="13"/>
        <v>8</v>
      </c>
    </row>
    <row r="95" spans="1:16" x14ac:dyDescent="0.25">
      <c r="A95" s="81">
        <v>94</v>
      </c>
      <c r="B95" s="97">
        <v>15</v>
      </c>
      <c r="C95" s="97" t="s">
        <v>1044</v>
      </c>
      <c r="D95" s="81" t="s">
        <v>197</v>
      </c>
      <c r="E95" s="95">
        <v>45456</v>
      </c>
      <c r="F95" s="146">
        <v>6017361120</v>
      </c>
      <c r="G95" s="132" t="s">
        <v>1045</v>
      </c>
      <c r="H95" s="160">
        <v>45498</v>
      </c>
      <c r="I95" s="147">
        <v>256</v>
      </c>
      <c r="J95" s="100">
        <v>25.6</v>
      </c>
      <c r="K95" s="100">
        <f t="shared" si="14"/>
        <v>281.60000000000002</v>
      </c>
      <c r="L95" s="99">
        <v>214.28100000000001</v>
      </c>
      <c r="M95" s="100">
        <f t="shared" si="10"/>
        <v>21.428100000000001</v>
      </c>
      <c r="N95" s="100">
        <f t="shared" si="11"/>
        <v>235.70910000000001</v>
      </c>
      <c r="O95" s="101" t="str">
        <f t="shared" si="15"/>
        <v>Completed</v>
      </c>
      <c r="P95" s="81">
        <f t="shared" si="13"/>
        <v>7</v>
      </c>
    </row>
    <row r="96" spans="1:16" x14ac:dyDescent="0.25">
      <c r="A96" s="81">
        <v>95</v>
      </c>
      <c r="B96" s="94">
        <v>15</v>
      </c>
      <c r="C96" s="94" t="s">
        <v>1046</v>
      </c>
      <c r="D96" s="81" t="s">
        <v>153</v>
      </c>
      <c r="E96" s="95">
        <v>45444</v>
      </c>
      <c r="F96" s="146">
        <v>6017361121</v>
      </c>
      <c r="G96" s="132" t="s">
        <v>1047</v>
      </c>
      <c r="H96" s="160">
        <v>45498</v>
      </c>
      <c r="I96" s="161">
        <v>1056</v>
      </c>
      <c r="J96" s="162">
        <v>105.60000000000001</v>
      </c>
      <c r="K96" s="162">
        <f t="shared" si="14"/>
        <v>1161.5999999999999</v>
      </c>
      <c r="L96" s="163">
        <v>924.14499999999998</v>
      </c>
      <c r="M96" s="164">
        <f t="shared" si="10"/>
        <v>92.414500000000004</v>
      </c>
      <c r="N96" s="119">
        <f t="shared" si="11"/>
        <v>1016.5595</v>
      </c>
      <c r="O96" s="101" t="str">
        <f t="shared" si="15"/>
        <v>Completed</v>
      </c>
      <c r="P96" s="81">
        <f t="shared" si="13"/>
        <v>7</v>
      </c>
    </row>
    <row r="97" spans="1:16" x14ac:dyDescent="0.25">
      <c r="A97" s="85">
        <v>96</v>
      </c>
      <c r="B97" s="94">
        <v>15</v>
      </c>
      <c r="C97" s="94" t="s">
        <v>1048</v>
      </c>
      <c r="D97" s="81" t="s">
        <v>197</v>
      </c>
      <c r="E97" s="132">
        <v>45473</v>
      </c>
      <c r="F97" s="146">
        <v>6017362930</v>
      </c>
      <c r="G97" s="132" t="s">
        <v>1049</v>
      </c>
      <c r="H97" s="165">
        <v>45524</v>
      </c>
      <c r="I97" s="161">
        <v>3481</v>
      </c>
      <c r="J97" s="166">
        <v>348.1</v>
      </c>
      <c r="K97" s="166">
        <f t="shared" si="14"/>
        <v>3829.1</v>
      </c>
      <c r="L97" s="167">
        <v>2462.5650000000001</v>
      </c>
      <c r="M97" s="168">
        <f t="shared" si="10"/>
        <v>246.25650000000002</v>
      </c>
      <c r="N97" s="169">
        <f t="shared" si="11"/>
        <v>2708.8215</v>
      </c>
      <c r="O97" s="101" t="str">
        <f t="shared" si="15"/>
        <v>Completed</v>
      </c>
      <c r="P97" s="81">
        <f t="shared" si="13"/>
        <v>8</v>
      </c>
    </row>
    <row r="98" spans="1:16" x14ac:dyDescent="0.25">
      <c r="A98" s="81">
        <v>97</v>
      </c>
      <c r="B98" s="94">
        <v>15</v>
      </c>
      <c r="C98" s="94" t="s">
        <v>1050</v>
      </c>
      <c r="D98" s="81" t="s">
        <v>828</v>
      </c>
      <c r="E98" s="132">
        <v>45482</v>
      </c>
      <c r="F98" s="146">
        <v>6017362933</v>
      </c>
      <c r="G98" s="170" t="s">
        <v>1051</v>
      </c>
      <c r="H98" s="171">
        <v>45533</v>
      </c>
      <c r="I98" s="172">
        <v>8617</v>
      </c>
      <c r="J98" s="166">
        <v>861.7</v>
      </c>
      <c r="K98" s="169">
        <f t="shared" si="14"/>
        <v>9478.7000000000007</v>
      </c>
      <c r="L98" s="173">
        <v>6236.8609999999999</v>
      </c>
      <c r="M98" s="174">
        <f t="shared" ref="M98:M129" si="16">IFERROR(IF(L98=0,"",L98*0.1),"")</f>
        <v>623.68610000000001</v>
      </c>
      <c r="N98" s="174">
        <f t="shared" ref="N98:N129" si="17">IFERROR(IF(L98=0,"",(L98*0.1)+L98),"")</f>
        <v>6860.5470999999998</v>
      </c>
      <c r="O98" s="101" t="str">
        <f t="shared" si="15"/>
        <v>Completed</v>
      </c>
      <c r="P98" s="81">
        <f t="shared" ref="P98:P129" si="18">IF(H98="","",MONTH(H98))</f>
        <v>8</v>
      </c>
    </row>
    <row r="99" spans="1:16" x14ac:dyDescent="0.25">
      <c r="A99" s="85">
        <v>98</v>
      </c>
      <c r="B99" s="94">
        <v>15</v>
      </c>
      <c r="C99" s="97" t="s">
        <v>1052</v>
      </c>
      <c r="D99" s="81" t="s">
        <v>101</v>
      </c>
      <c r="E99" s="175">
        <v>45453</v>
      </c>
      <c r="F99" s="146">
        <v>6017362934</v>
      </c>
      <c r="G99" s="424" t="s">
        <v>1053</v>
      </c>
      <c r="H99" s="425">
        <v>45523</v>
      </c>
      <c r="I99" s="176">
        <v>400</v>
      </c>
      <c r="J99" s="177">
        <v>40</v>
      </c>
      <c r="K99" s="177">
        <f t="shared" si="14"/>
        <v>440</v>
      </c>
      <c r="L99" s="178">
        <v>384.065</v>
      </c>
      <c r="M99" s="177">
        <f t="shared" si="16"/>
        <v>38.406500000000001</v>
      </c>
      <c r="N99" s="177">
        <f t="shared" si="17"/>
        <v>422.47149999999999</v>
      </c>
      <c r="O99" s="101" t="str">
        <f t="shared" si="15"/>
        <v>Completed</v>
      </c>
      <c r="P99" s="81">
        <f t="shared" si="18"/>
        <v>8</v>
      </c>
    </row>
    <row r="100" spans="1:16" x14ac:dyDescent="0.25">
      <c r="A100" s="81">
        <v>99</v>
      </c>
      <c r="B100" s="94">
        <v>15</v>
      </c>
      <c r="C100" s="179" t="s">
        <v>1054</v>
      </c>
      <c r="D100" s="180" t="s">
        <v>1055</v>
      </c>
      <c r="E100" s="165">
        <v>45497</v>
      </c>
      <c r="F100" s="181">
        <v>6017362938</v>
      </c>
      <c r="G100" s="426" t="s">
        <v>1056</v>
      </c>
      <c r="H100" s="427">
        <v>45522</v>
      </c>
      <c r="I100" s="172">
        <v>330.5</v>
      </c>
      <c r="J100" s="162">
        <v>33.050000000000004</v>
      </c>
      <c r="K100" s="162">
        <f t="shared" si="14"/>
        <v>363.55</v>
      </c>
      <c r="L100" s="163">
        <v>257.47000000000003</v>
      </c>
      <c r="M100" s="162">
        <f t="shared" si="16"/>
        <v>25.747000000000003</v>
      </c>
      <c r="N100" s="162">
        <f t="shared" si="17"/>
        <v>283.21700000000004</v>
      </c>
      <c r="O100" s="101" t="str">
        <f t="shared" si="15"/>
        <v>Completed</v>
      </c>
      <c r="P100" s="81">
        <f t="shared" si="18"/>
        <v>8</v>
      </c>
    </row>
    <row r="101" spans="1:16" x14ac:dyDescent="0.25">
      <c r="A101" s="85">
        <v>100</v>
      </c>
      <c r="B101" s="94">
        <v>15</v>
      </c>
      <c r="C101" s="97" t="s">
        <v>1057</v>
      </c>
      <c r="D101" s="81" t="s">
        <v>208</v>
      </c>
      <c r="E101" s="165">
        <v>45482</v>
      </c>
      <c r="F101" s="182">
        <v>3009404452</v>
      </c>
      <c r="G101" s="183" t="s">
        <v>993</v>
      </c>
      <c r="H101" s="98"/>
      <c r="I101" s="172">
        <v>34869</v>
      </c>
      <c r="J101" s="166">
        <v>3486.9</v>
      </c>
      <c r="K101" s="166">
        <f t="shared" si="14"/>
        <v>38355.9</v>
      </c>
      <c r="L101" s="184">
        <v>28633.422999999999</v>
      </c>
      <c r="M101" s="166">
        <f t="shared" si="16"/>
        <v>2863.3423000000003</v>
      </c>
      <c r="N101" s="166">
        <f t="shared" si="17"/>
        <v>31496.765299999999</v>
      </c>
      <c r="O101" s="101" t="str">
        <f t="shared" si="15"/>
        <v>WIP</v>
      </c>
      <c r="P101" s="81" t="str">
        <f t="shared" si="18"/>
        <v/>
      </c>
    </row>
    <row r="102" spans="1:16" x14ac:dyDescent="0.25">
      <c r="A102" s="81">
        <v>101</v>
      </c>
      <c r="B102" s="94">
        <v>15</v>
      </c>
      <c r="C102" s="94" t="s">
        <v>1058</v>
      </c>
      <c r="D102" s="185" t="s">
        <v>104</v>
      </c>
      <c r="E102" s="165">
        <v>45494</v>
      </c>
      <c r="F102" s="204">
        <v>3009404725</v>
      </c>
      <c r="G102" s="170" t="s">
        <v>1059</v>
      </c>
      <c r="H102" s="132">
        <v>45575</v>
      </c>
      <c r="I102" s="172">
        <v>1454</v>
      </c>
      <c r="J102" s="162">
        <v>145.4</v>
      </c>
      <c r="K102" s="162">
        <f t="shared" ref="K102:K133" si="19">IFERROR(IF(I102=0,"",(I102*0.1)+I102),"")</f>
        <v>1599.4</v>
      </c>
      <c r="L102" s="163">
        <v>1162.3879999999999</v>
      </c>
      <c r="M102" s="162">
        <f t="shared" si="16"/>
        <v>116.2388</v>
      </c>
      <c r="N102" s="162">
        <f t="shared" si="17"/>
        <v>1278.6268</v>
      </c>
      <c r="O102" s="101" t="str">
        <f t="shared" si="15"/>
        <v>Completed</v>
      </c>
      <c r="P102" s="81">
        <f t="shared" si="18"/>
        <v>10</v>
      </c>
    </row>
    <row r="103" spans="1:16" x14ac:dyDescent="0.25">
      <c r="A103" s="81">
        <v>102</v>
      </c>
      <c r="B103" s="94">
        <v>15</v>
      </c>
      <c r="C103" s="94" t="s">
        <v>1060</v>
      </c>
      <c r="D103" s="81" t="s">
        <v>101</v>
      </c>
      <c r="E103" s="165">
        <v>45471</v>
      </c>
      <c r="F103" s="182">
        <v>6017364589</v>
      </c>
      <c r="G103" s="97" t="s">
        <v>1035</v>
      </c>
      <c r="H103" s="186">
        <v>45533</v>
      </c>
      <c r="I103" s="172">
        <v>1723.94</v>
      </c>
      <c r="J103" s="166">
        <v>172.39400000000001</v>
      </c>
      <c r="K103" s="166">
        <f t="shared" si="19"/>
        <v>1896.3340000000001</v>
      </c>
      <c r="L103" s="184">
        <v>1461.9380000000001</v>
      </c>
      <c r="M103" s="166">
        <f t="shared" si="16"/>
        <v>146.19380000000001</v>
      </c>
      <c r="N103" s="166">
        <f t="shared" si="17"/>
        <v>1608.1318000000001</v>
      </c>
      <c r="O103" s="101" t="str">
        <f t="shared" si="15"/>
        <v>Completed</v>
      </c>
      <c r="P103" s="81">
        <f t="shared" si="18"/>
        <v>8</v>
      </c>
    </row>
    <row r="104" spans="1:16" x14ac:dyDescent="0.25">
      <c r="A104" s="187">
        <v>103</v>
      </c>
      <c r="B104" s="94">
        <v>15</v>
      </c>
      <c r="C104" s="188" t="s">
        <v>1054</v>
      </c>
      <c r="D104" s="189" t="s">
        <v>620</v>
      </c>
      <c r="E104" s="165">
        <v>45497</v>
      </c>
      <c r="F104" s="188">
        <v>6017362938</v>
      </c>
      <c r="G104" s="428" t="s">
        <v>1056</v>
      </c>
      <c r="H104" s="429">
        <v>45525</v>
      </c>
      <c r="I104" s="172">
        <v>400.5</v>
      </c>
      <c r="J104" s="162">
        <v>40.050000000000004</v>
      </c>
      <c r="K104" s="162">
        <f t="shared" si="19"/>
        <v>440.55</v>
      </c>
      <c r="L104" s="163">
        <v>332.96800000000002</v>
      </c>
      <c r="M104" s="162">
        <f t="shared" si="16"/>
        <v>33.296800000000005</v>
      </c>
      <c r="N104" s="162">
        <f t="shared" si="17"/>
        <v>366.26480000000004</v>
      </c>
      <c r="O104" s="101" t="str">
        <f t="shared" si="15"/>
        <v>Completed</v>
      </c>
      <c r="P104" s="81">
        <f t="shared" si="18"/>
        <v>8</v>
      </c>
    </row>
    <row r="105" spans="1:16" x14ac:dyDescent="0.25">
      <c r="A105" s="81">
        <v>104</v>
      </c>
      <c r="B105" s="94">
        <v>15</v>
      </c>
      <c r="C105" s="179" t="s">
        <v>1061</v>
      </c>
      <c r="D105" s="46" t="s">
        <v>206</v>
      </c>
      <c r="E105" s="190">
        <v>45503</v>
      </c>
      <c r="F105" s="191">
        <v>6017364527</v>
      </c>
      <c r="G105" s="430" t="s">
        <v>1062</v>
      </c>
      <c r="H105" s="429">
        <v>45539</v>
      </c>
      <c r="I105" s="172">
        <v>1164</v>
      </c>
      <c r="J105" s="162">
        <v>116.4</v>
      </c>
      <c r="K105" s="162">
        <f t="shared" si="19"/>
        <v>1280.4000000000001</v>
      </c>
      <c r="L105" s="163">
        <v>987.51800000000003</v>
      </c>
      <c r="M105" s="162">
        <f t="shared" si="16"/>
        <v>98.751800000000003</v>
      </c>
      <c r="N105" s="162">
        <f t="shared" si="17"/>
        <v>1086.2698</v>
      </c>
      <c r="O105" s="101" t="str">
        <f t="shared" si="15"/>
        <v>Completed</v>
      </c>
      <c r="P105" s="81">
        <f t="shared" si="18"/>
        <v>9</v>
      </c>
    </row>
    <row r="106" spans="1:16" x14ac:dyDescent="0.25">
      <c r="A106" s="187">
        <v>105</v>
      </c>
      <c r="B106" s="94">
        <v>15</v>
      </c>
      <c r="C106" s="179" t="s">
        <v>1063</v>
      </c>
      <c r="D106" s="46" t="s">
        <v>1001</v>
      </c>
      <c r="E106" s="165">
        <v>45497</v>
      </c>
      <c r="F106" s="191">
        <v>3009405130</v>
      </c>
      <c r="G106" s="183" t="s">
        <v>993</v>
      </c>
      <c r="H106" s="98"/>
      <c r="I106" s="172">
        <v>2511</v>
      </c>
      <c r="J106" s="162">
        <v>251.10000000000002</v>
      </c>
      <c r="K106" s="162">
        <f t="shared" si="19"/>
        <v>2762.1</v>
      </c>
      <c r="L106" s="163">
        <v>2092.4630000000002</v>
      </c>
      <c r="M106" s="162">
        <f t="shared" si="16"/>
        <v>209.24630000000002</v>
      </c>
      <c r="N106" s="162">
        <f t="shared" si="17"/>
        <v>2301.7093000000004</v>
      </c>
      <c r="O106" s="101" t="str">
        <f t="shared" si="15"/>
        <v>WIP</v>
      </c>
      <c r="P106" s="81" t="str">
        <f t="shared" si="18"/>
        <v/>
      </c>
    </row>
    <row r="107" spans="1:16" x14ac:dyDescent="0.25">
      <c r="A107" s="81">
        <v>106</v>
      </c>
      <c r="B107" s="94">
        <v>15</v>
      </c>
      <c r="C107" s="124" t="s">
        <v>1064</v>
      </c>
      <c r="D107" s="6" t="s">
        <v>104</v>
      </c>
      <c r="E107" s="132">
        <v>45501</v>
      </c>
      <c r="F107" s="118">
        <v>6017362937</v>
      </c>
      <c r="G107" s="431" t="s">
        <v>1065</v>
      </c>
      <c r="H107" s="432">
        <v>45523</v>
      </c>
      <c r="I107" s="172">
        <v>4750</v>
      </c>
      <c r="J107" s="162">
        <v>475</v>
      </c>
      <c r="K107" s="162">
        <f t="shared" si="19"/>
        <v>5225</v>
      </c>
      <c r="L107" s="163">
        <v>3910.8319999999999</v>
      </c>
      <c r="M107" s="162">
        <f t="shared" si="16"/>
        <v>391.08320000000003</v>
      </c>
      <c r="N107" s="162">
        <f t="shared" si="17"/>
        <v>4301.9151999999995</v>
      </c>
      <c r="O107" s="101" t="str">
        <f t="shared" si="15"/>
        <v>Completed</v>
      </c>
      <c r="P107" s="81">
        <f t="shared" si="18"/>
        <v>8</v>
      </c>
    </row>
    <row r="108" spans="1:16" x14ac:dyDescent="0.25">
      <c r="A108" s="187">
        <v>107</v>
      </c>
      <c r="B108" s="94">
        <v>15</v>
      </c>
      <c r="C108" s="179" t="s">
        <v>1066</v>
      </c>
      <c r="D108" s="81" t="s">
        <v>19</v>
      </c>
      <c r="E108" s="132">
        <v>45479</v>
      </c>
      <c r="F108" s="205">
        <v>3009406266</v>
      </c>
      <c r="G108" s="430" t="s">
        <v>1067</v>
      </c>
      <c r="H108" s="432">
        <v>45525</v>
      </c>
      <c r="I108" s="172">
        <v>2252.9250000000002</v>
      </c>
      <c r="J108" s="162">
        <v>225.29250000000002</v>
      </c>
      <c r="K108" s="162">
        <f t="shared" si="19"/>
        <v>2478.2175000000002</v>
      </c>
      <c r="L108" s="163">
        <v>1765.2750000000001</v>
      </c>
      <c r="M108" s="162">
        <f t="shared" si="16"/>
        <v>176.52750000000003</v>
      </c>
      <c r="N108" s="162">
        <f t="shared" si="17"/>
        <v>1941.8025000000002</v>
      </c>
      <c r="O108" s="101" t="str">
        <f t="shared" si="15"/>
        <v>Completed</v>
      </c>
      <c r="P108" s="81">
        <f t="shared" si="18"/>
        <v>8</v>
      </c>
    </row>
    <row r="109" spans="1:16" x14ac:dyDescent="0.25">
      <c r="A109" s="81">
        <v>108</v>
      </c>
      <c r="B109" s="94">
        <v>15</v>
      </c>
      <c r="C109" s="179" t="s">
        <v>1068</v>
      </c>
      <c r="D109" s="46" t="s">
        <v>262</v>
      </c>
      <c r="E109" s="132">
        <v>45475</v>
      </c>
      <c r="F109" s="118">
        <v>6017364528</v>
      </c>
      <c r="G109" s="428" t="s">
        <v>1069</v>
      </c>
      <c r="H109" s="429">
        <v>45561</v>
      </c>
      <c r="I109" s="172">
        <v>4373</v>
      </c>
      <c r="J109" s="162">
        <v>437.3</v>
      </c>
      <c r="K109" s="162">
        <f t="shared" si="19"/>
        <v>4810.3</v>
      </c>
      <c r="L109" s="163">
        <v>3620.9319999999998</v>
      </c>
      <c r="M109" s="162">
        <f t="shared" si="16"/>
        <v>362.09320000000002</v>
      </c>
      <c r="N109" s="162">
        <f t="shared" si="17"/>
        <v>3983.0252</v>
      </c>
      <c r="O109" s="101" t="str">
        <f t="shared" si="15"/>
        <v>Completed</v>
      </c>
      <c r="P109" s="81">
        <f t="shared" si="18"/>
        <v>9</v>
      </c>
    </row>
    <row r="110" spans="1:16" x14ac:dyDescent="0.25">
      <c r="A110" s="187">
        <v>109</v>
      </c>
      <c r="B110" s="94">
        <v>15</v>
      </c>
      <c r="C110" s="188" t="s">
        <v>1070</v>
      </c>
      <c r="D110" s="192" t="s">
        <v>827</v>
      </c>
      <c r="E110" s="132">
        <v>45488</v>
      </c>
      <c r="F110" s="188">
        <v>3009406131</v>
      </c>
      <c r="G110" s="183" t="s">
        <v>993</v>
      </c>
      <c r="H110" s="98">
        <v>45591</v>
      </c>
      <c r="I110" s="193">
        <v>3363</v>
      </c>
      <c r="J110" s="162">
        <v>336.3</v>
      </c>
      <c r="K110" s="162">
        <f t="shared" si="19"/>
        <v>3699.3</v>
      </c>
      <c r="L110" s="163">
        <v>3057.2730000000001</v>
      </c>
      <c r="M110" s="162">
        <f t="shared" si="16"/>
        <v>305.72730000000001</v>
      </c>
      <c r="N110" s="162">
        <f t="shared" si="17"/>
        <v>3363.0003000000002</v>
      </c>
      <c r="O110" s="101" t="str">
        <f t="shared" si="15"/>
        <v>WIP</v>
      </c>
      <c r="P110" s="81">
        <f t="shared" si="18"/>
        <v>10</v>
      </c>
    </row>
    <row r="111" spans="1:16" x14ac:dyDescent="0.25">
      <c r="A111" s="81">
        <v>110</v>
      </c>
      <c r="B111" s="94">
        <v>15</v>
      </c>
      <c r="C111" s="94" t="s">
        <v>1071</v>
      </c>
      <c r="D111" s="6" t="s">
        <v>1072</v>
      </c>
      <c r="E111" s="132">
        <v>45528</v>
      </c>
      <c r="F111" s="94">
        <v>3009407411</v>
      </c>
      <c r="G111" s="183" t="s">
        <v>993</v>
      </c>
      <c r="H111" s="98"/>
      <c r="I111" s="172">
        <v>63568.203000000001</v>
      </c>
      <c r="J111" s="162">
        <v>6356.8203000000003</v>
      </c>
      <c r="K111" s="162">
        <f t="shared" si="19"/>
        <v>69925.023300000001</v>
      </c>
      <c r="L111" s="163">
        <v>59354.063999999998</v>
      </c>
      <c r="M111" s="162">
        <f t="shared" si="16"/>
        <v>5935.4063999999998</v>
      </c>
      <c r="N111" s="162">
        <f t="shared" si="17"/>
        <v>65289.470399999998</v>
      </c>
      <c r="O111" s="101" t="str">
        <f t="shared" si="15"/>
        <v>WIP</v>
      </c>
      <c r="P111" s="81" t="str">
        <f t="shared" si="18"/>
        <v/>
      </c>
    </row>
    <row r="112" spans="1:16" x14ac:dyDescent="0.25">
      <c r="A112" s="187">
        <v>111</v>
      </c>
      <c r="B112" s="94">
        <v>15</v>
      </c>
      <c r="C112" s="94" t="s">
        <v>1073</v>
      </c>
      <c r="D112" s="81" t="s">
        <v>52</v>
      </c>
      <c r="E112" s="132">
        <v>45521</v>
      </c>
      <c r="F112" s="105">
        <v>3009406650</v>
      </c>
      <c r="G112" s="194" t="s">
        <v>1074</v>
      </c>
      <c r="H112" s="195" t="s">
        <v>1075</v>
      </c>
      <c r="I112" s="172">
        <v>2272</v>
      </c>
      <c r="J112" s="162">
        <v>227.20000000000002</v>
      </c>
      <c r="K112" s="162">
        <f t="shared" si="19"/>
        <v>2499.1999999999998</v>
      </c>
      <c r="L112" s="163">
        <v>1895.588</v>
      </c>
      <c r="M112" s="162">
        <f t="shared" si="16"/>
        <v>189.55880000000002</v>
      </c>
      <c r="N112" s="162">
        <f t="shared" si="17"/>
        <v>2085.1468</v>
      </c>
      <c r="O112" s="101" t="str">
        <f t="shared" si="15"/>
        <v>Completed</v>
      </c>
      <c r="P112" s="81" t="e">
        <f t="shared" si="18"/>
        <v>#VALUE!</v>
      </c>
    </row>
    <row r="113" spans="1:16" x14ac:dyDescent="0.25">
      <c r="A113" s="81">
        <v>112</v>
      </c>
      <c r="B113" s="94">
        <v>15</v>
      </c>
      <c r="C113" s="94" t="s">
        <v>1076</v>
      </c>
      <c r="D113" s="81" t="s">
        <v>101</v>
      </c>
      <c r="E113" s="132">
        <v>45514</v>
      </c>
      <c r="F113" s="105">
        <v>3009407083</v>
      </c>
      <c r="G113" s="149" t="s">
        <v>1077</v>
      </c>
      <c r="H113" s="98">
        <v>45669</v>
      </c>
      <c r="I113" s="172">
        <v>5402</v>
      </c>
      <c r="J113" s="166">
        <v>540.20000000000005</v>
      </c>
      <c r="K113" s="166">
        <f t="shared" si="19"/>
        <v>5942.2</v>
      </c>
      <c r="L113" s="184">
        <v>4471.723</v>
      </c>
      <c r="M113" s="166">
        <f t="shared" si="16"/>
        <v>447.17230000000001</v>
      </c>
      <c r="N113" s="166">
        <f t="shared" si="17"/>
        <v>4918.8953000000001</v>
      </c>
      <c r="O113" s="101" t="str">
        <f t="shared" si="15"/>
        <v>Completed</v>
      </c>
      <c r="P113" s="81">
        <f t="shared" si="18"/>
        <v>1</v>
      </c>
    </row>
    <row r="114" spans="1:16" x14ac:dyDescent="0.25">
      <c r="A114" s="187">
        <v>113</v>
      </c>
      <c r="B114" s="94">
        <v>15</v>
      </c>
      <c r="C114" s="94" t="s">
        <v>1078</v>
      </c>
      <c r="D114" s="46" t="s">
        <v>206</v>
      </c>
      <c r="E114" s="132">
        <v>45535</v>
      </c>
      <c r="F114" s="105">
        <v>3009407134</v>
      </c>
      <c r="G114" s="194" t="s">
        <v>1079</v>
      </c>
      <c r="H114" s="132">
        <v>45575</v>
      </c>
      <c r="I114" s="172">
        <v>286</v>
      </c>
      <c r="J114" s="162">
        <v>28.6</v>
      </c>
      <c r="K114" s="162">
        <f t="shared" si="19"/>
        <v>314.60000000000002</v>
      </c>
      <c r="L114" s="163">
        <v>235.27600000000001</v>
      </c>
      <c r="M114" s="162">
        <f t="shared" si="16"/>
        <v>23.527600000000003</v>
      </c>
      <c r="N114" s="162">
        <f t="shared" si="17"/>
        <v>258.80360000000002</v>
      </c>
      <c r="O114" s="101" t="str">
        <f t="shared" si="15"/>
        <v>Completed</v>
      </c>
      <c r="P114" s="81">
        <f t="shared" si="18"/>
        <v>10</v>
      </c>
    </row>
    <row r="115" spans="1:16" x14ac:dyDescent="0.25">
      <c r="A115" s="81">
        <v>114</v>
      </c>
      <c r="B115" s="94">
        <v>15</v>
      </c>
      <c r="C115" s="94" t="s">
        <v>1080</v>
      </c>
      <c r="D115" s="81" t="s">
        <v>153</v>
      </c>
      <c r="E115" s="132">
        <v>45531</v>
      </c>
      <c r="F115" s="105">
        <v>3009407700</v>
      </c>
      <c r="G115" s="194" t="s">
        <v>1081</v>
      </c>
      <c r="H115" s="132">
        <v>45589</v>
      </c>
      <c r="I115" s="172">
        <v>1160</v>
      </c>
      <c r="J115" s="162">
        <v>116</v>
      </c>
      <c r="K115" s="162">
        <f t="shared" si="19"/>
        <v>1276</v>
      </c>
      <c r="L115" s="163">
        <v>917.69200000000001</v>
      </c>
      <c r="M115" s="162">
        <f t="shared" si="16"/>
        <v>91.769200000000012</v>
      </c>
      <c r="N115" s="162">
        <f t="shared" si="17"/>
        <v>1009.4612</v>
      </c>
      <c r="O115" s="101" t="str">
        <f t="shared" si="15"/>
        <v>Completed</v>
      </c>
      <c r="P115" s="81">
        <f t="shared" si="18"/>
        <v>10</v>
      </c>
    </row>
    <row r="116" spans="1:16" x14ac:dyDescent="0.25">
      <c r="A116" s="187">
        <v>115</v>
      </c>
      <c r="B116" s="94">
        <v>15</v>
      </c>
      <c r="C116" s="94" t="s">
        <v>1082</v>
      </c>
      <c r="D116" s="6" t="s">
        <v>104</v>
      </c>
      <c r="E116" s="132">
        <v>45538</v>
      </c>
      <c r="F116" s="105">
        <v>3009407661</v>
      </c>
      <c r="G116" s="194" t="s">
        <v>1083</v>
      </c>
      <c r="H116" s="132">
        <v>45575</v>
      </c>
      <c r="I116" s="172">
        <v>534</v>
      </c>
      <c r="J116" s="162">
        <v>53.400000000000006</v>
      </c>
      <c r="K116" s="162">
        <f t="shared" si="19"/>
        <v>587.4</v>
      </c>
      <c r="L116" s="163">
        <v>444.27699999999999</v>
      </c>
      <c r="M116" s="162">
        <f t="shared" si="16"/>
        <v>44.427700000000002</v>
      </c>
      <c r="N116" s="162">
        <f t="shared" si="17"/>
        <v>488.7047</v>
      </c>
      <c r="O116" s="101" t="str">
        <f t="shared" si="15"/>
        <v>Completed</v>
      </c>
      <c r="P116" s="81">
        <f t="shared" si="18"/>
        <v>10</v>
      </c>
    </row>
    <row r="117" spans="1:16" x14ac:dyDescent="0.25">
      <c r="A117" s="81">
        <v>116</v>
      </c>
      <c r="B117" s="94">
        <v>15</v>
      </c>
      <c r="C117" s="94" t="s">
        <v>1084</v>
      </c>
      <c r="D117" s="6" t="s">
        <v>104</v>
      </c>
      <c r="E117" s="132">
        <v>45542</v>
      </c>
      <c r="F117" s="105">
        <v>3009407660</v>
      </c>
      <c r="G117" s="194" t="s">
        <v>1085</v>
      </c>
      <c r="H117" s="132">
        <v>45575</v>
      </c>
      <c r="I117" s="172">
        <v>2586</v>
      </c>
      <c r="J117" s="162">
        <v>258.60000000000002</v>
      </c>
      <c r="K117" s="162">
        <f t="shared" si="19"/>
        <v>2844.6</v>
      </c>
      <c r="L117" s="163">
        <v>2210.7640000000001</v>
      </c>
      <c r="M117" s="162">
        <f t="shared" si="16"/>
        <v>221.07640000000004</v>
      </c>
      <c r="N117" s="162">
        <f t="shared" si="17"/>
        <v>2431.8404</v>
      </c>
      <c r="O117" s="101" t="str">
        <f t="shared" si="15"/>
        <v>Completed</v>
      </c>
      <c r="P117" s="81">
        <f t="shared" si="18"/>
        <v>10</v>
      </c>
    </row>
    <row r="118" spans="1:16" x14ac:dyDescent="0.25">
      <c r="A118" s="187">
        <v>117</v>
      </c>
      <c r="B118" s="94">
        <v>15</v>
      </c>
      <c r="C118" s="94" t="s">
        <v>1086</v>
      </c>
      <c r="D118" s="81" t="s">
        <v>27</v>
      </c>
      <c r="E118" s="132">
        <v>45532</v>
      </c>
      <c r="F118" s="105">
        <v>3009407665</v>
      </c>
      <c r="G118" s="194" t="s">
        <v>1087</v>
      </c>
      <c r="H118" s="132">
        <v>45612</v>
      </c>
      <c r="I118" s="172">
        <v>14349</v>
      </c>
      <c r="J118" s="162">
        <v>1434.9</v>
      </c>
      <c r="K118" s="162">
        <f t="shared" si="19"/>
        <v>15783.9</v>
      </c>
      <c r="L118" s="163">
        <v>11961.700999999999</v>
      </c>
      <c r="M118" s="162">
        <f t="shared" si="16"/>
        <v>1196.1701</v>
      </c>
      <c r="N118" s="162">
        <f t="shared" si="17"/>
        <v>13157.871099999998</v>
      </c>
      <c r="O118" s="101" t="str">
        <f t="shared" si="15"/>
        <v>Completed</v>
      </c>
      <c r="P118" s="81">
        <f t="shared" si="18"/>
        <v>11</v>
      </c>
    </row>
    <row r="119" spans="1:16" x14ac:dyDescent="0.25">
      <c r="A119" s="81">
        <v>118</v>
      </c>
      <c r="B119" s="94">
        <v>15</v>
      </c>
      <c r="C119" s="94" t="s">
        <v>1088</v>
      </c>
      <c r="D119" s="81" t="s">
        <v>27</v>
      </c>
      <c r="E119" s="132">
        <v>45532</v>
      </c>
      <c r="F119" s="105">
        <v>3009407667</v>
      </c>
      <c r="G119" s="194" t="s">
        <v>1089</v>
      </c>
      <c r="H119" s="132">
        <v>45612</v>
      </c>
      <c r="I119" s="172">
        <v>5820</v>
      </c>
      <c r="J119" s="162">
        <v>582</v>
      </c>
      <c r="K119" s="162">
        <f t="shared" si="19"/>
        <v>6402</v>
      </c>
      <c r="L119" s="163">
        <v>4735.9369999999999</v>
      </c>
      <c r="M119" s="162">
        <f t="shared" si="16"/>
        <v>473.59370000000001</v>
      </c>
      <c r="N119" s="162">
        <f t="shared" si="17"/>
        <v>5209.5307000000003</v>
      </c>
      <c r="O119" s="101" t="str">
        <f t="shared" si="15"/>
        <v>Completed</v>
      </c>
      <c r="P119" s="81">
        <f t="shared" si="18"/>
        <v>11</v>
      </c>
    </row>
    <row r="120" spans="1:16" x14ac:dyDescent="0.25">
      <c r="A120" s="187">
        <v>119</v>
      </c>
      <c r="B120" s="94">
        <v>16</v>
      </c>
      <c r="C120" s="179" t="s">
        <v>1090</v>
      </c>
      <c r="D120" s="81" t="s">
        <v>218</v>
      </c>
      <c r="E120" s="132">
        <v>45537</v>
      </c>
      <c r="F120" s="179">
        <v>6017366545</v>
      </c>
      <c r="G120" s="114" t="s">
        <v>1091</v>
      </c>
      <c r="H120" s="98">
        <v>45574</v>
      </c>
      <c r="I120" s="133">
        <v>525</v>
      </c>
      <c r="J120" s="100">
        <v>52.5</v>
      </c>
      <c r="K120" s="100">
        <f t="shared" si="19"/>
        <v>577.5</v>
      </c>
      <c r="L120" s="99">
        <v>436.70499999999998</v>
      </c>
      <c r="M120" s="100">
        <f t="shared" si="16"/>
        <v>43.670500000000004</v>
      </c>
      <c r="N120" s="100">
        <f t="shared" si="17"/>
        <v>480.37549999999999</v>
      </c>
      <c r="O120" s="101" t="str">
        <f t="shared" si="15"/>
        <v>Completed</v>
      </c>
      <c r="P120" s="81">
        <f t="shared" si="18"/>
        <v>10</v>
      </c>
    </row>
    <row r="121" spans="1:16" x14ac:dyDescent="0.25">
      <c r="A121" s="81">
        <v>120</v>
      </c>
      <c r="B121" s="94">
        <v>16</v>
      </c>
      <c r="C121" s="188" t="s">
        <v>1092</v>
      </c>
      <c r="D121" s="81" t="s">
        <v>520</v>
      </c>
      <c r="E121" s="132">
        <v>45491</v>
      </c>
      <c r="F121" s="206">
        <v>3009408864</v>
      </c>
      <c r="G121" s="149" t="s">
        <v>1093</v>
      </c>
      <c r="H121" s="98">
        <v>45626</v>
      </c>
      <c r="I121" s="133">
        <v>1000</v>
      </c>
      <c r="J121" s="100">
        <v>100</v>
      </c>
      <c r="K121" s="100">
        <f t="shared" si="19"/>
        <v>1100</v>
      </c>
      <c r="L121" s="99">
        <v>811.49400000000003</v>
      </c>
      <c r="M121" s="100">
        <f t="shared" si="16"/>
        <v>81.149400000000014</v>
      </c>
      <c r="N121" s="100">
        <f t="shared" si="17"/>
        <v>892.64340000000004</v>
      </c>
      <c r="O121" s="101" t="str">
        <f t="shared" si="15"/>
        <v>Completed</v>
      </c>
      <c r="P121" s="81">
        <f t="shared" si="18"/>
        <v>11</v>
      </c>
    </row>
    <row r="122" spans="1:16" x14ac:dyDescent="0.25">
      <c r="A122" s="187">
        <v>121</v>
      </c>
      <c r="B122" s="94">
        <v>16</v>
      </c>
      <c r="C122" s="179" t="s">
        <v>1094</v>
      </c>
      <c r="D122" s="81" t="s">
        <v>153</v>
      </c>
      <c r="E122" s="132">
        <v>45515</v>
      </c>
      <c r="F122" s="146">
        <v>6017370709</v>
      </c>
      <c r="G122" s="149" t="s">
        <v>1095</v>
      </c>
      <c r="H122" s="98">
        <v>45641</v>
      </c>
      <c r="I122" s="133">
        <v>1056</v>
      </c>
      <c r="J122" s="100">
        <v>105.60000000000001</v>
      </c>
      <c r="K122" s="100">
        <f t="shared" si="19"/>
        <v>1161.5999999999999</v>
      </c>
      <c r="L122" s="99">
        <v>830.67</v>
      </c>
      <c r="M122" s="100">
        <f t="shared" si="16"/>
        <v>83.067000000000007</v>
      </c>
      <c r="N122" s="100">
        <f t="shared" si="17"/>
        <v>913.73699999999997</v>
      </c>
      <c r="O122" s="101" t="str">
        <f t="shared" si="15"/>
        <v>Completed</v>
      </c>
      <c r="P122" s="81">
        <f t="shared" si="18"/>
        <v>12</v>
      </c>
    </row>
    <row r="123" spans="1:16" x14ac:dyDescent="0.25">
      <c r="A123" s="81">
        <v>122</v>
      </c>
      <c r="B123" s="94">
        <v>16</v>
      </c>
      <c r="C123" s="179" t="s">
        <v>1096</v>
      </c>
      <c r="D123" s="81" t="s">
        <v>197</v>
      </c>
      <c r="E123" s="132">
        <v>45551</v>
      </c>
      <c r="F123" s="146">
        <v>6017369704</v>
      </c>
      <c r="G123" s="149" t="s">
        <v>1097</v>
      </c>
      <c r="H123" s="98">
        <v>45626</v>
      </c>
      <c r="I123" s="133">
        <v>907</v>
      </c>
      <c r="J123" s="100">
        <v>90.7</v>
      </c>
      <c r="K123" s="100">
        <f t="shared" si="19"/>
        <v>997.7</v>
      </c>
      <c r="L123" s="99">
        <v>725.84699999999998</v>
      </c>
      <c r="M123" s="100">
        <f t="shared" si="16"/>
        <v>72.584699999999998</v>
      </c>
      <c r="N123" s="100">
        <f t="shared" si="17"/>
        <v>798.43169999999998</v>
      </c>
      <c r="O123" s="101" t="s">
        <v>782</v>
      </c>
      <c r="P123" s="81">
        <f t="shared" si="18"/>
        <v>11</v>
      </c>
    </row>
    <row r="124" spans="1:16" x14ac:dyDescent="0.25">
      <c r="A124" s="187">
        <v>123</v>
      </c>
      <c r="B124" s="94">
        <v>16</v>
      </c>
      <c r="C124" s="179" t="s">
        <v>1098</v>
      </c>
      <c r="D124" s="81" t="s">
        <v>153</v>
      </c>
      <c r="E124" s="132">
        <v>45543</v>
      </c>
      <c r="F124" s="146">
        <v>6017369705</v>
      </c>
      <c r="G124" s="149" t="s">
        <v>1099</v>
      </c>
      <c r="H124" s="98">
        <v>45621</v>
      </c>
      <c r="I124" s="133">
        <v>4437</v>
      </c>
      <c r="J124" s="100">
        <v>443.70000000000005</v>
      </c>
      <c r="K124" s="100">
        <f t="shared" si="19"/>
        <v>4880.7</v>
      </c>
      <c r="L124" s="99">
        <v>3551.7220000000002</v>
      </c>
      <c r="M124" s="100">
        <f t="shared" si="16"/>
        <v>355.17220000000003</v>
      </c>
      <c r="N124" s="100">
        <f t="shared" si="17"/>
        <v>3906.8942000000002</v>
      </c>
      <c r="O124" s="101" t="str">
        <f t="shared" ref="O124:O150" si="20">IF(G124="","Pending Update",IF(G124="Yet to Invoice","WIP","Completed"))</f>
        <v>Completed</v>
      </c>
      <c r="P124" s="81">
        <f t="shared" si="18"/>
        <v>11</v>
      </c>
    </row>
    <row r="125" spans="1:16" x14ac:dyDescent="0.25">
      <c r="A125" s="81">
        <v>124</v>
      </c>
      <c r="B125" s="94">
        <v>16</v>
      </c>
      <c r="C125" s="188" t="s">
        <v>1100</v>
      </c>
      <c r="D125" s="81" t="s">
        <v>1101</v>
      </c>
      <c r="E125" s="132">
        <v>45541</v>
      </c>
      <c r="F125" s="206">
        <v>3009408485</v>
      </c>
      <c r="G125" s="149" t="s">
        <v>1102</v>
      </c>
      <c r="H125" s="98">
        <v>45656</v>
      </c>
      <c r="I125" s="133">
        <v>9500.0439999999999</v>
      </c>
      <c r="J125" s="100">
        <v>950.00440000000003</v>
      </c>
      <c r="K125" s="100">
        <f t="shared" si="19"/>
        <v>10450.0484</v>
      </c>
      <c r="L125" s="99">
        <v>8306.7839999999997</v>
      </c>
      <c r="M125" s="100">
        <f t="shared" si="16"/>
        <v>830.67840000000001</v>
      </c>
      <c r="N125" s="100">
        <f t="shared" si="17"/>
        <v>9137.4624000000003</v>
      </c>
      <c r="O125" s="101" t="str">
        <f t="shared" si="20"/>
        <v>Completed</v>
      </c>
      <c r="P125" s="81">
        <f t="shared" si="18"/>
        <v>12</v>
      </c>
    </row>
    <row r="126" spans="1:16" x14ac:dyDescent="0.25">
      <c r="A126" s="187">
        <v>125</v>
      </c>
      <c r="B126" s="94">
        <v>16</v>
      </c>
      <c r="C126" s="179" t="s">
        <v>1103</v>
      </c>
      <c r="D126" s="81" t="s">
        <v>1104</v>
      </c>
      <c r="E126" s="132">
        <v>45553</v>
      </c>
      <c r="F126" s="146">
        <v>6017367812</v>
      </c>
      <c r="G126" s="149" t="s">
        <v>1105</v>
      </c>
      <c r="H126" s="98">
        <v>45561</v>
      </c>
      <c r="I126" s="133">
        <v>277</v>
      </c>
      <c r="J126" s="100">
        <v>27.700000000000003</v>
      </c>
      <c r="K126" s="100">
        <f t="shared" si="19"/>
        <v>304.7</v>
      </c>
      <c r="L126" s="99">
        <v>230.64</v>
      </c>
      <c r="M126" s="100">
        <f t="shared" si="16"/>
        <v>23.064</v>
      </c>
      <c r="N126" s="100">
        <f t="shared" si="17"/>
        <v>253.70399999999998</v>
      </c>
      <c r="O126" s="101" t="str">
        <f t="shared" si="20"/>
        <v>Completed</v>
      </c>
      <c r="P126" s="81">
        <f t="shared" si="18"/>
        <v>9</v>
      </c>
    </row>
    <row r="127" spans="1:16" x14ac:dyDescent="0.25">
      <c r="A127" s="81">
        <v>126</v>
      </c>
      <c r="B127" s="94">
        <v>16</v>
      </c>
      <c r="C127" s="196" t="s">
        <v>1106</v>
      </c>
      <c r="D127" s="81" t="s">
        <v>827</v>
      </c>
      <c r="E127" s="132">
        <v>45553</v>
      </c>
      <c r="F127" s="146">
        <v>6017369706</v>
      </c>
      <c r="G127" s="183" t="s">
        <v>993</v>
      </c>
      <c r="H127" s="98">
        <v>45629</v>
      </c>
      <c r="I127" s="133">
        <v>3400</v>
      </c>
      <c r="J127" s="100">
        <v>340</v>
      </c>
      <c r="K127" s="100">
        <f t="shared" si="19"/>
        <v>3740</v>
      </c>
      <c r="L127" s="99">
        <v>2595.9749999999999</v>
      </c>
      <c r="M127" s="100">
        <f t="shared" si="16"/>
        <v>259.59750000000003</v>
      </c>
      <c r="N127" s="100">
        <f t="shared" si="17"/>
        <v>2855.5724999999998</v>
      </c>
      <c r="O127" s="101" t="str">
        <f t="shared" si="20"/>
        <v>WIP</v>
      </c>
      <c r="P127" s="81">
        <f t="shared" si="18"/>
        <v>12</v>
      </c>
    </row>
    <row r="128" spans="1:16" x14ac:dyDescent="0.25">
      <c r="A128" s="187">
        <v>127</v>
      </c>
      <c r="B128" s="94">
        <v>16</v>
      </c>
      <c r="C128" s="196" t="s">
        <v>1107</v>
      </c>
      <c r="D128" s="46" t="s">
        <v>262</v>
      </c>
      <c r="E128" s="132">
        <v>45487</v>
      </c>
      <c r="F128" s="146">
        <v>6017368306</v>
      </c>
      <c r="G128" s="149" t="s">
        <v>1108</v>
      </c>
      <c r="H128" s="98">
        <v>45608</v>
      </c>
      <c r="I128" s="133">
        <v>330</v>
      </c>
      <c r="J128" s="100">
        <v>33</v>
      </c>
      <c r="K128" s="100">
        <f t="shared" si="19"/>
        <v>363</v>
      </c>
      <c r="L128" s="99">
        <v>262.995</v>
      </c>
      <c r="M128" s="100">
        <f t="shared" si="16"/>
        <v>26.299500000000002</v>
      </c>
      <c r="N128" s="100">
        <f t="shared" si="17"/>
        <v>289.29450000000003</v>
      </c>
      <c r="O128" s="101" t="str">
        <f t="shared" si="20"/>
        <v>Completed</v>
      </c>
      <c r="P128" s="81">
        <f t="shared" si="18"/>
        <v>11</v>
      </c>
    </row>
    <row r="129" spans="1:16" x14ac:dyDescent="0.25">
      <c r="A129" s="187">
        <v>128</v>
      </c>
      <c r="B129" s="94">
        <v>16</v>
      </c>
      <c r="C129" s="197" t="s">
        <v>992</v>
      </c>
      <c r="D129" s="81" t="s">
        <v>827</v>
      </c>
      <c r="E129" s="132">
        <v>45420</v>
      </c>
      <c r="F129" s="146">
        <v>3009408181</v>
      </c>
      <c r="G129" s="183" t="s">
        <v>993</v>
      </c>
      <c r="H129" s="98">
        <v>45627</v>
      </c>
      <c r="I129" s="198">
        <v>2829</v>
      </c>
      <c r="J129" s="100">
        <v>282.90000000000003</v>
      </c>
      <c r="K129" s="100">
        <f t="shared" si="19"/>
        <v>3111.9</v>
      </c>
      <c r="L129" s="99">
        <v>1892.7370000000001</v>
      </c>
      <c r="M129" s="100">
        <f t="shared" si="16"/>
        <v>189.27370000000002</v>
      </c>
      <c r="N129" s="100">
        <f t="shared" si="17"/>
        <v>2082.0107000000003</v>
      </c>
      <c r="O129" s="101" t="str">
        <f t="shared" si="20"/>
        <v>WIP</v>
      </c>
      <c r="P129" s="81">
        <f t="shared" si="18"/>
        <v>12</v>
      </c>
    </row>
    <row r="130" spans="1:16" x14ac:dyDescent="0.25">
      <c r="A130" s="81">
        <v>129</v>
      </c>
      <c r="B130" s="94">
        <v>16</v>
      </c>
      <c r="C130" s="196" t="s">
        <v>1109</v>
      </c>
      <c r="D130" s="81" t="s">
        <v>153</v>
      </c>
      <c r="E130" s="132">
        <v>45551</v>
      </c>
      <c r="F130" s="146">
        <v>6017369707</v>
      </c>
      <c r="G130" s="149" t="s">
        <v>1110</v>
      </c>
      <c r="H130" s="98">
        <v>45621</v>
      </c>
      <c r="I130" s="198">
        <v>6398</v>
      </c>
      <c r="J130" s="100">
        <v>639.80000000000007</v>
      </c>
      <c r="K130" s="100">
        <f t="shared" si="19"/>
        <v>7037.8</v>
      </c>
      <c r="L130" s="99">
        <v>4448.1189999999997</v>
      </c>
      <c r="M130" s="100">
        <f t="shared" ref="M130:M161" si="21">IFERROR(IF(L130=0,"",L130*0.1),"")</f>
        <v>444.81189999999998</v>
      </c>
      <c r="N130" s="100">
        <f t="shared" ref="N130:N161" si="22">IFERROR(IF(L130=0,"",(L130*0.1)+L130),"")</f>
        <v>4892.9308999999994</v>
      </c>
      <c r="O130" s="101" t="str">
        <f t="shared" si="20"/>
        <v>Completed</v>
      </c>
      <c r="P130" s="81">
        <f t="shared" ref="P130:P161" si="23">IF(H130="","",MONTH(H130))</f>
        <v>11</v>
      </c>
    </row>
    <row r="131" spans="1:16" x14ac:dyDescent="0.25">
      <c r="A131" s="187">
        <v>130</v>
      </c>
      <c r="B131" s="94">
        <v>16</v>
      </c>
      <c r="C131" s="197" t="s">
        <v>1111</v>
      </c>
      <c r="D131" s="81" t="s">
        <v>197</v>
      </c>
      <c r="E131" s="132">
        <v>45578</v>
      </c>
      <c r="F131" s="146">
        <v>6017370713</v>
      </c>
      <c r="G131" s="149" t="s">
        <v>1112</v>
      </c>
      <c r="H131" s="98">
        <v>45641</v>
      </c>
      <c r="I131" s="198">
        <v>4580</v>
      </c>
      <c r="J131" s="100">
        <v>458</v>
      </c>
      <c r="K131" s="100">
        <f t="shared" si="19"/>
        <v>5038</v>
      </c>
      <c r="L131" s="99">
        <v>3816.1959999999999</v>
      </c>
      <c r="M131" s="100">
        <f t="shared" si="21"/>
        <v>381.61959999999999</v>
      </c>
      <c r="N131" s="100">
        <f t="shared" si="22"/>
        <v>4197.8155999999999</v>
      </c>
      <c r="O131" s="101" t="str">
        <f t="shared" si="20"/>
        <v>Completed</v>
      </c>
      <c r="P131" s="81">
        <f t="shared" si="23"/>
        <v>12</v>
      </c>
    </row>
    <row r="132" spans="1:16" x14ac:dyDescent="0.25">
      <c r="A132" s="81">
        <v>131</v>
      </c>
      <c r="B132" s="94">
        <v>16</v>
      </c>
      <c r="C132" s="197" t="s">
        <v>1113</v>
      </c>
      <c r="D132" s="81" t="s">
        <v>197</v>
      </c>
      <c r="E132" s="132">
        <v>45572</v>
      </c>
      <c r="F132" s="206">
        <v>3009409753</v>
      </c>
      <c r="G132" s="149" t="s">
        <v>1114</v>
      </c>
      <c r="H132" s="98">
        <v>45716</v>
      </c>
      <c r="I132" s="198">
        <v>301.8</v>
      </c>
      <c r="J132" s="100">
        <v>30.180000000000003</v>
      </c>
      <c r="K132" s="100">
        <f t="shared" si="19"/>
        <v>331.98</v>
      </c>
      <c r="L132" s="99">
        <v>241.95599999999999</v>
      </c>
      <c r="M132" s="100">
        <f t="shared" si="21"/>
        <v>24.195599999999999</v>
      </c>
      <c r="N132" s="100">
        <f t="shared" si="22"/>
        <v>266.15159999999997</v>
      </c>
      <c r="O132" s="101" t="str">
        <f t="shared" si="20"/>
        <v>Completed</v>
      </c>
      <c r="P132" s="81">
        <f t="shared" si="23"/>
        <v>2</v>
      </c>
    </row>
    <row r="133" spans="1:16" x14ac:dyDescent="0.25">
      <c r="A133" s="187">
        <v>132</v>
      </c>
      <c r="B133" s="94">
        <v>16</v>
      </c>
      <c r="C133" s="196" t="s">
        <v>1115</v>
      </c>
      <c r="D133" s="81" t="s">
        <v>27</v>
      </c>
      <c r="E133" s="132">
        <v>45551</v>
      </c>
      <c r="F133" s="146">
        <v>6017369708</v>
      </c>
      <c r="G133" s="149" t="s">
        <v>1116</v>
      </c>
      <c r="H133" s="98">
        <v>45616</v>
      </c>
      <c r="I133" s="198">
        <v>246</v>
      </c>
      <c r="J133" s="100">
        <v>24.6</v>
      </c>
      <c r="K133" s="100">
        <f t="shared" si="19"/>
        <v>270.60000000000002</v>
      </c>
      <c r="L133" s="99">
        <v>196.92599999999999</v>
      </c>
      <c r="M133" s="100">
        <f t="shared" si="21"/>
        <v>19.692599999999999</v>
      </c>
      <c r="N133" s="100">
        <f t="shared" si="22"/>
        <v>216.61859999999999</v>
      </c>
      <c r="O133" s="101" t="str">
        <f t="shared" si="20"/>
        <v>Completed</v>
      </c>
      <c r="P133" s="81">
        <f t="shared" si="23"/>
        <v>11</v>
      </c>
    </row>
    <row r="134" spans="1:16" x14ac:dyDescent="0.25">
      <c r="A134" s="81">
        <v>133</v>
      </c>
      <c r="B134" s="94">
        <v>16</v>
      </c>
      <c r="C134" s="197" t="s">
        <v>1117</v>
      </c>
      <c r="D134" s="81" t="s">
        <v>153</v>
      </c>
      <c r="E134" s="132">
        <v>45551</v>
      </c>
      <c r="F134" s="146">
        <v>6017370714</v>
      </c>
      <c r="G134" s="149" t="s">
        <v>1118</v>
      </c>
      <c r="H134" s="98">
        <v>45641</v>
      </c>
      <c r="I134" s="198">
        <v>2613</v>
      </c>
      <c r="J134" s="100">
        <v>261.3</v>
      </c>
      <c r="K134" s="100">
        <f t="shared" ref="K134:K150" si="24">IFERROR(IF(I134=0,"",(I134*0.1)+I134),"")</f>
        <v>2874.3</v>
      </c>
      <c r="L134" s="99">
        <v>2086.393</v>
      </c>
      <c r="M134" s="100">
        <f t="shared" si="21"/>
        <v>208.63930000000002</v>
      </c>
      <c r="N134" s="100">
        <f t="shared" si="22"/>
        <v>2295.0322999999999</v>
      </c>
      <c r="O134" s="101" t="str">
        <f t="shared" si="20"/>
        <v>Completed</v>
      </c>
      <c r="P134" s="81">
        <f t="shared" si="23"/>
        <v>12</v>
      </c>
    </row>
    <row r="135" spans="1:16" x14ac:dyDescent="0.25">
      <c r="A135" s="187">
        <v>134</v>
      </c>
      <c r="B135" s="94">
        <v>16</v>
      </c>
      <c r="C135" s="188" t="s">
        <v>1119</v>
      </c>
      <c r="D135" s="81" t="s">
        <v>206</v>
      </c>
      <c r="E135" s="132">
        <v>45536</v>
      </c>
      <c r="F135" s="206">
        <v>3009410107</v>
      </c>
      <c r="G135" s="149" t="s">
        <v>1120</v>
      </c>
      <c r="H135" s="98">
        <v>45656</v>
      </c>
      <c r="I135" s="198">
        <v>920</v>
      </c>
      <c r="J135" s="100">
        <v>92</v>
      </c>
      <c r="K135" s="100">
        <f t="shared" si="24"/>
        <v>1012</v>
      </c>
      <c r="L135" s="99">
        <v>756.51599999999996</v>
      </c>
      <c r="M135" s="100">
        <f t="shared" si="21"/>
        <v>75.651600000000002</v>
      </c>
      <c r="N135" s="100">
        <f t="shared" si="22"/>
        <v>832.16759999999999</v>
      </c>
      <c r="O135" s="101" t="str">
        <f t="shared" si="20"/>
        <v>Completed</v>
      </c>
      <c r="P135" s="81">
        <f t="shared" si="23"/>
        <v>12</v>
      </c>
    </row>
    <row r="136" spans="1:16" x14ac:dyDescent="0.25">
      <c r="A136" s="81">
        <v>135</v>
      </c>
      <c r="B136" s="94">
        <v>16</v>
      </c>
      <c r="C136" s="179" t="s">
        <v>1121</v>
      </c>
      <c r="D136" s="81" t="s">
        <v>206</v>
      </c>
      <c r="E136" s="132">
        <v>45595</v>
      </c>
      <c r="F136" s="206">
        <v>3009411636</v>
      </c>
      <c r="G136" s="149" t="s">
        <v>1122</v>
      </c>
      <c r="H136" s="98">
        <v>45656</v>
      </c>
      <c r="I136" s="198">
        <v>2799</v>
      </c>
      <c r="J136" s="100">
        <v>279.90000000000003</v>
      </c>
      <c r="K136" s="100">
        <f t="shared" si="24"/>
        <v>3078.9</v>
      </c>
      <c r="L136" s="99">
        <v>2333.5030000000002</v>
      </c>
      <c r="M136" s="100">
        <f t="shared" si="21"/>
        <v>233.35030000000003</v>
      </c>
      <c r="N136" s="100">
        <f t="shared" si="22"/>
        <v>2566.8533000000002</v>
      </c>
      <c r="O136" s="101" t="str">
        <f t="shared" si="20"/>
        <v>Completed</v>
      </c>
      <c r="P136" s="81">
        <f t="shared" si="23"/>
        <v>12</v>
      </c>
    </row>
    <row r="137" spans="1:16" x14ac:dyDescent="0.25">
      <c r="A137" s="187">
        <v>136</v>
      </c>
      <c r="B137" s="94">
        <v>16</v>
      </c>
      <c r="C137" s="179" t="s">
        <v>1123</v>
      </c>
      <c r="D137" s="81" t="s">
        <v>153</v>
      </c>
      <c r="E137" s="132">
        <v>45469</v>
      </c>
      <c r="F137" s="146">
        <v>6017371005</v>
      </c>
      <c r="G137" s="149" t="s">
        <v>1124</v>
      </c>
      <c r="H137" s="98">
        <v>45622</v>
      </c>
      <c r="I137" s="198">
        <v>2050</v>
      </c>
      <c r="J137" s="100">
        <v>205</v>
      </c>
      <c r="K137" s="100">
        <f t="shared" si="24"/>
        <v>2255</v>
      </c>
      <c r="L137" s="99">
        <v>932</v>
      </c>
      <c r="M137" s="100">
        <f t="shared" si="21"/>
        <v>93.2</v>
      </c>
      <c r="N137" s="100">
        <f t="shared" si="22"/>
        <v>1025.2</v>
      </c>
      <c r="O137" s="101" t="str">
        <f t="shared" si="20"/>
        <v>Completed</v>
      </c>
      <c r="P137" s="81">
        <f t="shared" si="23"/>
        <v>11</v>
      </c>
    </row>
    <row r="138" spans="1:16" x14ac:dyDescent="0.25">
      <c r="A138" s="187">
        <v>137</v>
      </c>
      <c r="B138" s="94">
        <v>16</v>
      </c>
      <c r="C138" s="179" t="s">
        <v>1125</v>
      </c>
      <c r="D138" s="81" t="s">
        <v>19</v>
      </c>
      <c r="E138" s="132">
        <v>45603</v>
      </c>
      <c r="F138" s="206">
        <v>3009412028</v>
      </c>
      <c r="G138" s="149" t="s">
        <v>1126</v>
      </c>
      <c r="H138" s="98">
        <v>45693</v>
      </c>
      <c r="I138" s="198">
        <v>4692</v>
      </c>
      <c r="J138" s="100">
        <v>469.20000000000005</v>
      </c>
      <c r="K138" s="100">
        <f t="shared" si="24"/>
        <v>5161.2</v>
      </c>
      <c r="L138" s="99">
        <v>4048.3</v>
      </c>
      <c r="M138" s="100">
        <f t="shared" si="21"/>
        <v>404.83000000000004</v>
      </c>
      <c r="N138" s="100">
        <f t="shared" si="22"/>
        <v>4453.13</v>
      </c>
      <c r="O138" s="101" t="str">
        <f t="shared" si="20"/>
        <v>Completed</v>
      </c>
      <c r="P138" s="81">
        <f t="shared" si="23"/>
        <v>2</v>
      </c>
    </row>
    <row r="139" spans="1:16" x14ac:dyDescent="0.25">
      <c r="A139" s="81">
        <v>138</v>
      </c>
      <c r="B139" s="94">
        <v>16</v>
      </c>
      <c r="C139" s="179" t="s">
        <v>1127</v>
      </c>
      <c r="D139" s="81" t="s">
        <v>855</v>
      </c>
      <c r="E139" s="132">
        <v>45585</v>
      </c>
      <c r="F139" s="146">
        <v>6017370719</v>
      </c>
      <c r="G139" s="149" t="s">
        <v>1128</v>
      </c>
      <c r="H139" s="98">
        <v>45638</v>
      </c>
      <c r="I139" s="198">
        <v>376</v>
      </c>
      <c r="J139" s="100">
        <v>37.6</v>
      </c>
      <c r="K139" s="100">
        <f t="shared" si="24"/>
        <v>413.6</v>
      </c>
      <c r="L139" s="99">
        <v>235.33699999999999</v>
      </c>
      <c r="M139" s="100">
        <f t="shared" si="21"/>
        <v>23.5337</v>
      </c>
      <c r="N139" s="100">
        <f t="shared" si="22"/>
        <v>258.8707</v>
      </c>
      <c r="O139" s="101" t="str">
        <f t="shared" si="20"/>
        <v>Completed</v>
      </c>
      <c r="P139" s="81">
        <f t="shared" si="23"/>
        <v>12</v>
      </c>
    </row>
    <row r="140" spans="1:16" x14ac:dyDescent="0.25">
      <c r="A140" s="187">
        <v>139</v>
      </c>
      <c r="B140" s="94">
        <v>16</v>
      </c>
      <c r="C140" s="199" t="s">
        <v>1129</v>
      </c>
      <c r="D140" s="46" t="s">
        <v>262</v>
      </c>
      <c r="E140" s="132">
        <v>45434</v>
      </c>
      <c r="F140" s="146">
        <v>6017370715</v>
      </c>
      <c r="G140" s="149" t="s">
        <v>1130</v>
      </c>
      <c r="H140" s="98">
        <v>45657</v>
      </c>
      <c r="I140" s="198">
        <v>852</v>
      </c>
      <c r="J140" s="100">
        <v>85.2</v>
      </c>
      <c r="K140" s="100">
        <f t="shared" si="24"/>
        <v>937.2</v>
      </c>
      <c r="L140" s="99">
        <v>723</v>
      </c>
      <c r="M140" s="100">
        <f t="shared" si="21"/>
        <v>72.3</v>
      </c>
      <c r="N140" s="100">
        <f t="shared" si="22"/>
        <v>795.3</v>
      </c>
      <c r="O140" s="101" t="str">
        <f t="shared" si="20"/>
        <v>Completed</v>
      </c>
      <c r="P140" s="81">
        <f t="shared" si="23"/>
        <v>12</v>
      </c>
    </row>
    <row r="141" spans="1:16" x14ac:dyDescent="0.25">
      <c r="A141" s="81">
        <v>140</v>
      </c>
      <c r="B141" s="94">
        <v>16</v>
      </c>
      <c r="C141" s="179" t="s">
        <v>1131</v>
      </c>
      <c r="D141" s="81" t="s">
        <v>197</v>
      </c>
      <c r="E141" s="132">
        <v>45592</v>
      </c>
      <c r="F141" s="146">
        <v>6017370716</v>
      </c>
      <c r="G141" s="149" t="s">
        <v>1132</v>
      </c>
      <c r="H141" s="98">
        <v>45641</v>
      </c>
      <c r="I141" s="198">
        <v>120</v>
      </c>
      <c r="J141" s="100">
        <v>12</v>
      </c>
      <c r="K141" s="100">
        <f t="shared" si="24"/>
        <v>132</v>
      </c>
      <c r="L141" s="99">
        <v>90.4</v>
      </c>
      <c r="M141" s="100">
        <f t="shared" si="21"/>
        <v>9.0400000000000009</v>
      </c>
      <c r="N141" s="100">
        <f t="shared" si="22"/>
        <v>99.440000000000012</v>
      </c>
      <c r="O141" s="101" t="str">
        <f t="shared" si="20"/>
        <v>Completed</v>
      </c>
      <c r="P141" s="81">
        <f t="shared" si="23"/>
        <v>12</v>
      </c>
    </row>
    <row r="142" spans="1:16" x14ac:dyDescent="0.25">
      <c r="A142" s="187">
        <v>141</v>
      </c>
      <c r="B142" s="94">
        <v>16</v>
      </c>
      <c r="C142" s="179" t="s">
        <v>1133</v>
      </c>
      <c r="D142" s="81" t="s">
        <v>197</v>
      </c>
      <c r="E142" s="132">
        <v>45581</v>
      </c>
      <c r="F142" s="146">
        <v>6017370717</v>
      </c>
      <c r="G142" s="149" t="s">
        <v>1134</v>
      </c>
      <c r="H142" s="98">
        <v>45641</v>
      </c>
      <c r="I142" s="198">
        <v>370</v>
      </c>
      <c r="J142" s="100">
        <v>37</v>
      </c>
      <c r="K142" s="100">
        <f t="shared" si="24"/>
        <v>407</v>
      </c>
      <c r="L142" s="99">
        <v>306.322</v>
      </c>
      <c r="M142" s="100">
        <f t="shared" si="21"/>
        <v>30.632200000000001</v>
      </c>
      <c r="N142" s="100">
        <f t="shared" si="22"/>
        <v>336.95420000000001</v>
      </c>
      <c r="O142" s="101" t="str">
        <f t="shared" si="20"/>
        <v>Completed</v>
      </c>
      <c r="P142" s="81">
        <f t="shared" si="23"/>
        <v>12</v>
      </c>
    </row>
    <row r="143" spans="1:16" x14ac:dyDescent="0.25">
      <c r="A143" s="81">
        <v>142</v>
      </c>
      <c r="B143" s="94">
        <v>16</v>
      </c>
      <c r="C143" s="188" t="s">
        <v>1135</v>
      </c>
      <c r="D143" s="81" t="s">
        <v>218</v>
      </c>
      <c r="E143" s="132">
        <v>45563</v>
      </c>
      <c r="F143" s="146">
        <v>6017370718</v>
      </c>
      <c r="G143" s="149" t="s">
        <v>1136</v>
      </c>
      <c r="H143" s="98">
        <v>45641</v>
      </c>
      <c r="I143" s="198">
        <v>216</v>
      </c>
      <c r="J143" s="100">
        <v>21.6</v>
      </c>
      <c r="K143" s="100">
        <f t="shared" si="24"/>
        <v>237.6</v>
      </c>
      <c r="L143" s="99">
        <v>179.98500000000001</v>
      </c>
      <c r="M143" s="100">
        <f t="shared" si="21"/>
        <v>17.998500000000003</v>
      </c>
      <c r="N143" s="100">
        <f t="shared" si="22"/>
        <v>197.98350000000002</v>
      </c>
      <c r="O143" s="101" t="str">
        <f t="shared" si="20"/>
        <v>Completed</v>
      </c>
      <c r="P143" s="81">
        <f t="shared" si="23"/>
        <v>12</v>
      </c>
    </row>
    <row r="144" spans="1:16" x14ac:dyDescent="0.25">
      <c r="A144" s="187">
        <v>143</v>
      </c>
      <c r="B144" s="94">
        <v>16</v>
      </c>
      <c r="C144" s="105" t="s">
        <v>1137</v>
      </c>
      <c r="D144" s="81" t="s">
        <v>218</v>
      </c>
      <c r="E144" s="132">
        <v>45608</v>
      </c>
      <c r="F144" s="206">
        <v>3009412164</v>
      </c>
      <c r="G144" s="149" t="s">
        <v>1138</v>
      </c>
      <c r="H144" s="98">
        <v>45656</v>
      </c>
      <c r="I144" s="198">
        <v>381</v>
      </c>
      <c r="J144" s="100">
        <v>38.1</v>
      </c>
      <c r="K144" s="100">
        <f t="shared" si="24"/>
        <v>419.1</v>
      </c>
      <c r="L144" s="99">
        <v>322.79300000000001</v>
      </c>
      <c r="M144" s="100">
        <f t="shared" si="21"/>
        <v>32.279299999999999</v>
      </c>
      <c r="N144" s="100">
        <f t="shared" si="22"/>
        <v>355.07229999999998</v>
      </c>
      <c r="O144" s="101" t="str">
        <f t="shared" si="20"/>
        <v>Completed</v>
      </c>
      <c r="P144" s="81">
        <f t="shared" si="23"/>
        <v>12</v>
      </c>
    </row>
    <row r="145" spans="1:16" x14ac:dyDescent="0.25">
      <c r="A145" s="81">
        <v>144</v>
      </c>
      <c r="B145" s="94">
        <v>16</v>
      </c>
      <c r="C145" s="105" t="s">
        <v>1139</v>
      </c>
      <c r="D145" s="81" t="s">
        <v>153</v>
      </c>
      <c r="E145" s="132">
        <v>45444</v>
      </c>
      <c r="F145" s="146"/>
      <c r="G145" s="149" t="s">
        <v>1140</v>
      </c>
      <c r="H145" s="98">
        <v>45622</v>
      </c>
      <c r="I145" s="198">
        <v>1056</v>
      </c>
      <c r="J145" s="100">
        <v>105.60000000000001</v>
      </c>
      <c r="K145" s="100">
        <f t="shared" si="24"/>
        <v>1161.5999999999999</v>
      </c>
      <c r="L145" s="99">
        <v>924</v>
      </c>
      <c r="M145" s="100">
        <f t="shared" si="21"/>
        <v>92.4</v>
      </c>
      <c r="N145" s="100">
        <f t="shared" si="22"/>
        <v>1016.4</v>
      </c>
      <c r="O145" s="101" t="str">
        <f t="shared" si="20"/>
        <v>Completed</v>
      </c>
      <c r="P145" s="81">
        <f t="shared" si="23"/>
        <v>11</v>
      </c>
    </row>
    <row r="146" spans="1:16" x14ac:dyDescent="0.25">
      <c r="A146" s="187">
        <v>145</v>
      </c>
      <c r="B146" s="94">
        <v>16</v>
      </c>
      <c r="C146" s="105" t="s">
        <v>1141</v>
      </c>
      <c r="D146" s="81" t="s">
        <v>827</v>
      </c>
      <c r="E146" s="132">
        <v>45613</v>
      </c>
      <c r="F146" s="146"/>
      <c r="G146" s="183" t="s">
        <v>993</v>
      </c>
      <c r="H146" s="98"/>
      <c r="I146" s="198">
        <v>801.28</v>
      </c>
      <c r="J146" s="100">
        <v>80.128</v>
      </c>
      <c r="K146" s="100">
        <f t="shared" si="24"/>
        <v>881.40800000000002</v>
      </c>
      <c r="L146" s="99">
        <v>696.76499999999999</v>
      </c>
      <c r="M146" s="100">
        <f t="shared" si="21"/>
        <v>69.676500000000004</v>
      </c>
      <c r="N146" s="100">
        <f t="shared" si="22"/>
        <v>766.44150000000002</v>
      </c>
      <c r="O146" s="101" t="str">
        <f t="shared" si="20"/>
        <v>WIP</v>
      </c>
      <c r="P146" s="81" t="str">
        <f t="shared" si="23"/>
        <v/>
      </c>
    </row>
    <row r="147" spans="1:16" x14ac:dyDescent="0.25">
      <c r="A147" s="187">
        <v>146</v>
      </c>
      <c r="B147" s="94">
        <v>16</v>
      </c>
      <c r="C147" s="105" t="s">
        <v>1142</v>
      </c>
      <c r="D147" s="46" t="s">
        <v>262</v>
      </c>
      <c r="E147" s="132">
        <v>45609</v>
      </c>
      <c r="F147" s="206">
        <v>3009412132</v>
      </c>
      <c r="G147" s="149" t="s">
        <v>1143</v>
      </c>
      <c r="H147" s="98"/>
      <c r="I147" s="198">
        <v>1086</v>
      </c>
      <c r="J147" s="100">
        <v>108.60000000000001</v>
      </c>
      <c r="K147" s="100">
        <f t="shared" si="24"/>
        <v>1194.5999999999999</v>
      </c>
      <c r="L147" s="99">
        <v>905.42399999999998</v>
      </c>
      <c r="M147" s="100">
        <f t="shared" si="21"/>
        <v>90.542400000000001</v>
      </c>
      <c r="N147" s="100">
        <f t="shared" si="22"/>
        <v>995.96640000000002</v>
      </c>
      <c r="O147" s="101" t="str">
        <f t="shared" si="20"/>
        <v>Completed</v>
      </c>
      <c r="P147" s="81" t="str">
        <f t="shared" si="23"/>
        <v/>
      </c>
    </row>
    <row r="148" spans="1:16" x14ac:dyDescent="0.25">
      <c r="A148" s="187">
        <v>147</v>
      </c>
      <c r="B148" s="94">
        <v>16</v>
      </c>
      <c r="C148" s="105" t="s">
        <v>1144</v>
      </c>
      <c r="D148" s="46" t="s">
        <v>262</v>
      </c>
      <c r="E148" s="132">
        <v>45607</v>
      </c>
      <c r="F148" s="206">
        <v>3009412134</v>
      </c>
      <c r="G148" s="149" t="s">
        <v>1145</v>
      </c>
      <c r="H148" s="98"/>
      <c r="I148" s="198">
        <v>2172</v>
      </c>
      <c r="J148" s="100">
        <v>217.20000000000002</v>
      </c>
      <c r="K148" s="100">
        <f t="shared" si="24"/>
        <v>2389.1999999999998</v>
      </c>
      <c r="L148" s="99">
        <v>361.15199999999999</v>
      </c>
      <c r="M148" s="100">
        <f t="shared" si="21"/>
        <v>36.115200000000002</v>
      </c>
      <c r="N148" s="100">
        <f t="shared" si="22"/>
        <v>397.2672</v>
      </c>
      <c r="O148" s="101" t="str">
        <f t="shared" si="20"/>
        <v>Completed</v>
      </c>
      <c r="P148" s="81" t="str">
        <f t="shared" si="23"/>
        <v/>
      </c>
    </row>
    <row r="149" spans="1:16" x14ac:dyDescent="0.25">
      <c r="A149" s="187">
        <v>148</v>
      </c>
      <c r="B149" s="94">
        <v>16</v>
      </c>
      <c r="C149" s="105" t="s">
        <v>1146</v>
      </c>
      <c r="D149" s="81" t="s">
        <v>827</v>
      </c>
      <c r="E149" s="132">
        <v>45585</v>
      </c>
      <c r="F149" s="146"/>
      <c r="G149" s="183" t="s">
        <v>993</v>
      </c>
      <c r="H149" s="98"/>
      <c r="I149" s="198">
        <v>9602</v>
      </c>
      <c r="J149" s="100">
        <v>960.2</v>
      </c>
      <c r="K149" s="100">
        <f t="shared" si="24"/>
        <v>10562.2</v>
      </c>
      <c r="L149" s="99">
        <v>8216.8850000000002</v>
      </c>
      <c r="M149" s="100">
        <f t="shared" si="21"/>
        <v>821.68850000000009</v>
      </c>
      <c r="N149" s="100">
        <f t="shared" si="22"/>
        <v>9038.5735000000004</v>
      </c>
      <c r="O149" s="101" t="str">
        <f t="shared" si="20"/>
        <v>WIP</v>
      </c>
      <c r="P149" s="81" t="str">
        <f t="shared" si="23"/>
        <v/>
      </c>
    </row>
    <row r="150" spans="1:16" x14ac:dyDescent="0.25">
      <c r="A150" s="187">
        <v>149</v>
      </c>
      <c r="B150" s="94">
        <v>16</v>
      </c>
      <c r="C150" s="105" t="s">
        <v>1147</v>
      </c>
      <c r="D150" s="81" t="s">
        <v>896</v>
      </c>
      <c r="E150" s="132">
        <v>45575</v>
      </c>
      <c r="F150" s="206">
        <v>3009410156</v>
      </c>
      <c r="G150" s="149" t="s">
        <v>1148</v>
      </c>
      <c r="H150" s="98"/>
      <c r="I150" s="198">
        <v>3175</v>
      </c>
      <c r="J150" s="100">
        <v>317.5</v>
      </c>
      <c r="K150" s="100">
        <f t="shared" si="24"/>
        <v>3492.5</v>
      </c>
      <c r="L150" s="99">
        <v>2711.866</v>
      </c>
      <c r="M150" s="100">
        <f t="shared" si="21"/>
        <v>271.1866</v>
      </c>
      <c r="N150" s="100">
        <f t="shared" si="22"/>
        <v>2983.0526</v>
      </c>
      <c r="O150" s="101" t="str">
        <f t="shared" si="20"/>
        <v>Completed</v>
      </c>
      <c r="P150" s="81" t="str">
        <f t="shared" si="23"/>
        <v/>
      </c>
    </row>
    <row r="151" spans="1:16" x14ac:dyDescent="0.25">
      <c r="A151" s="81">
        <v>150</v>
      </c>
      <c r="B151" s="94"/>
      <c r="C151" s="94" t="s">
        <v>1149</v>
      </c>
      <c r="D151" s="81" t="s">
        <v>153</v>
      </c>
      <c r="E151" s="132">
        <v>45624</v>
      </c>
      <c r="F151" s="146"/>
      <c r="G151" s="183" t="s">
        <v>993</v>
      </c>
      <c r="H151" s="98">
        <v>45736</v>
      </c>
      <c r="I151" s="198">
        <v>3792</v>
      </c>
      <c r="J151" s="100">
        <v>379.20000000000005</v>
      </c>
      <c r="K151" s="100">
        <f t="shared" ref="K151:K168" si="25">IFERROR(IF(I151=0,"",(I151*0.1)+I151),"")</f>
        <v>4171.2</v>
      </c>
      <c r="L151" s="99">
        <v>3031.8020000000001</v>
      </c>
      <c r="M151" s="100">
        <f t="shared" si="21"/>
        <v>303.18020000000001</v>
      </c>
      <c r="N151" s="100">
        <f t="shared" si="22"/>
        <v>3334.9822000000004</v>
      </c>
      <c r="O151" s="101" t="str">
        <f t="shared" ref="O151:O214" si="26">IF(G151="","Pending Update",IF(G151="Yet to Invoice","WIP","Completed"))</f>
        <v>WIP</v>
      </c>
      <c r="P151" s="81">
        <f t="shared" si="23"/>
        <v>3</v>
      </c>
    </row>
    <row r="152" spans="1:16" x14ac:dyDescent="0.25">
      <c r="A152" s="187">
        <v>151</v>
      </c>
      <c r="B152" s="94"/>
      <c r="C152" s="94" t="s">
        <v>1150</v>
      </c>
      <c r="D152" s="81" t="s">
        <v>19</v>
      </c>
      <c r="E152" s="132"/>
      <c r="F152" s="146">
        <v>3009414614</v>
      </c>
      <c r="G152" s="183" t="s">
        <v>993</v>
      </c>
      <c r="H152" s="98">
        <v>45736</v>
      </c>
      <c r="I152" s="198">
        <v>6040.24</v>
      </c>
      <c r="J152" s="100">
        <v>604.024</v>
      </c>
      <c r="K152" s="100">
        <f t="shared" si="25"/>
        <v>6644.2640000000001</v>
      </c>
      <c r="L152" s="99"/>
      <c r="M152" s="100" t="str">
        <f t="shared" si="21"/>
        <v/>
      </c>
      <c r="N152" s="100" t="str">
        <f t="shared" si="22"/>
        <v/>
      </c>
      <c r="O152" s="101" t="str">
        <f t="shared" si="26"/>
        <v>WIP</v>
      </c>
      <c r="P152" s="81">
        <f t="shared" si="23"/>
        <v>3</v>
      </c>
    </row>
    <row r="153" spans="1:16" x14ac:dyDescent="0.25">
      <c r="A153" s="187">
        <v>152</v>
      </c>
      <c r="B153" s="94"/>
      <c r="C153" s="97" t="s">
        <v>1151</v>
      </c>
      <c r="D153" s="81" t="s">
        <v>153</v>
      </c>
      <c r="E153" s="132"/>
      <c r="F153" s="146"/>
      <c r="G153" s="183" t="s">
        <v>993</v>
      </c>
      <c r="H153" s="98"/>
      <c r="I153" s="198"/>
      <c r="J153" s="100" t="s">
        <v>1631</v>
      </c>
      <c r="K153" s="100" t="str">
        <f t="shared" si="25"/>
        <v/>
      </c>
      <c r="L153" s="99"/>
      <c r="M153" s="100" t="str">
        <f t="shared" si="21"/>
        <v/>
      </c>
      <c r="N153" s="100" t="str">
        <f t="shared" si="22"/>
        <v/>
      </c>
      <c r="O153" s="101" t="str">
        <f t="shared" si="26"/>
        <v>WIP</v>
      </c>
      <c r="P153" s="81" t="str">
        <f t="shared" si="23"/>
        <v/>
      </c>
    </row>
    <row r="154" spans="1:16" x14ac:dyDescent="0.25">
      <c r="A154" s="187">
        <v>153</v>
      </c>
      <c r="B154" s="94"/>
      <c r="C154" s="94" t="s">
        <v>1149</v>
      </c>
      <c r="D154" s="81" t="s">
        <v>153</v>
      </c>
      <c r="E154" s="132">
        <v>45624</v>
      </c>
      <c r="F154" s="146"/>
      <c r="G154" s="183" t="s">
        <v>993</v>
      </c>
      <c r="H154" s="98">
        <v>45736</v>
      </c>
      <c r="I154" s="198">
        <v>3792</v>
      </c>
      <c r="J154" s="100">
        <v>379.20000000000005</v>
      </c>
      <c r="K154" s="100">
        <f t="shared" si="25"/>
        <v>4171.2</v>
      </c>
      <c r="L154" s="99">
        <v>3031.8020000000001</v>
      </c>
      <c r="M154" s="100">
        <f t="shared" si="21"/>
        <v>303.18020000000001</v>
      </c>
      <c r="N154" s="100">
        <f t="shared" si="22"/>
        <v>3334.9822000000004</v>
      </c>
      <c r="O154" s="101" t="str">
        <f t="shared" si="26"/>
        <v>WIP</v>
      </c>
      <c r="P154" s="81">
        <f t="shared" si="23"/>
        <v>3</v>
      </c>
    </row>
    <row r="155" spans="1:16" x14ac:dyDescent="0.25">
      <c r="A155" s="187">
        <v>154</v>
      </c>
      <c r="B155" s="94"/>
      <c r="C155" s="200" t="s">
        <v>1152</v>
      </c>
      <c r="D155" s="81" t="s">
        <v>153</v>
      </c>
      <c r="E155" s="132"/>
      <c r="F155" s="146">
        <v>6017374172</v>
      </c>
      <c r="G155" s="149" t="s">
        <v>1153</v>
      </c>
      <c r="H155" s="98">
        <v>45690</v>
      </c>
      <c r="I155" s="198">
        <v>2427.6</v>
      </c>
      <c r="J155" s="100">
        <v>242.76</v>
      </c>
      <c r="K155" s="100">
        <f t="shared" si="25"/>
        <v>2670.3599999999997</v>
      </c>
      <c r="L155" s="99">
        <v>1964.4880000000001</v>
      </c>
      <c r="M155" s="100">
        <f t="shared" si="21"/>
        <v>196.44880000000001</v>
      </c>
      <c r="N155" s="100">
        <f t="shared" si="22"/>
        <v>2160.9367999999999</v>
      </c>
      <c r="O155" s="101" t="str">
        <f t="shared" si="26"/>
        <v>Completed</v>
      </c>
      <c r="P155" s="81">
        <f t="shared" si="23"/>
        <v>2</v>
      </c>
    </row>
    <row r="156" spans="1:16" x14ac:dyDescent="0.25">
      <c r="A156" s="187">
        <v>155</v>
      </c>
      <c r="B156" s="94"/>
      <c r="C156" s="201" t="s">
        <v>1154</v>
      </c>
      <c r="D156" s="81" t="s">
        <v>153</v>
      </c>
      <c r="E156" s="132"/>
      <c r="F156" s="146"/>
      <c r="G156" s="183" t="s">
        <v>993</v>
      </c>
      <c r="H156" s="98">
        <v>45699</v>
      </c>
      <c r="I156" s="198"/>
      <c r="J156" s="100" t="s">
        <v>1631</v>
      </c>
      <c r="K156" s="100" t="str">
        <f t="shared" si="25"/>
        <v/>
      </c>
      <c r="L156" s="99"/>
      <c r="M156" s="100" t="str">
        <f t="shared" si="21"/>
        <v/>
      </c>
      <c r="N156" s="100" t="str">
        <f t="shared" si="22"/>
        <v/>
      </c>
      <c r="O156" s="101" t="str">
        <f t="shared" si="26"/>
        <v>WIP</v>
      </c>
      <c r="P156" s="81">
        <f t="shared" si="23"/>
        <v>2</v>
      </c>
    </row>
    <row r="157" spans="1:16" x14ac:dyDescent="0.25">
      <c r="A157" s="81">
        <v>156</v>
      </c>
      <c r="B157" s="94"/>
      <c r="C157" s="200" t="s">
        <v>1155</v>
      </c>
      <c r="D157" s="81" t="s">
        <v>206</v>
      </c>
      <c r="E157" s="132"/>
      <c r="F157" s="146">
        <v>6017376214</v>
      </c>
      <c r="G157" s="183" t="s">
        <v>993</v>
      </c>
      <c r="H157" s="98">
        <v>45724</v>
      </c>
      <c r="I157" s="198"/>
      <c r="J157" s="100" t="s">
        <v>1631</v>
      </c>
      <c r="K157" s="100" t="str">
        <f t="shared" si="25"/>
        <v/>
      </c>
      <c r="L157" s="99"/>
      <c r="M157" s="100" t="str">
        <f t="shared" si="21"/>
        <v/>
      </c>
      <c r="N157" s="100" t="str">
        <f t="shared" si="22"/>
        <v/>
      </c>
      <c r="O157" s="101" t="str">
        <f t="shared" si="26"/>
        <v>WIP</v>
      </c>
      <c r="P157" s="81">
        <f t="shared" si="23"/>
        <v>3</v>
      </c>
    </row>
    <row r="158" spans="1:16" x14ac:dyDescent="0.25">
      <c r="A158" s="187">
        <v>157</v>
      </c>
      <c r="B158" s="94"/>
      <c r="C158" s="200" t="s">
        <v>1156</v>
      </c>
      <c r="D158" s="81" t="s">
        <v>218</v>
      </c>
      <c r="E158" s="132"/>
      <c r="F158" s="146">
        <v>6017372397</v>
      </c>
      <c r="G158" s="149" t="s">
        <v>1157</v>
      </c>
      <c r="H158" s="98"/>
      <c r="I158" s="198">
        <v>2266.63</v>
      </c>
      <c r="J158" s="100">
        <v>226.66300000000001</v>
      </c>
      <c r="K158" s="100">
        <f t="shared" si="25"/>
        <v>2493.2930000000001</v>
      </c>
      <c r="L158" s="99"/>
      <c r="M158" s="100" t="str">
        <f t="shared" si="21"/>
        <v/>
      </c>
      <c r="N158" s="100" t="str">
        <f t="shared" si="22"/>
        <v/>
      </c>
      <c r="O158" s="101" t="str">
        <f t="shared" si="26"/>
        <v>Completed</v>
      </c>
      <c r="P158" s="81" t="str">
        <f t="shared" si="23"/>
        <v/>
      </c>
    </row>
    <row r="159" spans="1:16" x14ac:dyDescent="0.25">
      <c r="A159" s="187">
        <v>158</v>
      </c>
      <c r="B159" s="94"/>
      <c r="C159" s="200" t="s">
        <v>1158</v>
      </c>
      <c r="D159" s="81" t="s">
        <v>74</v>
      </c>
      <c r="E159" s="132"/>
      <c r="F159" s="146">
        <v>6017374171</v>
      </c>
      <c r="G159" s="149" t="s">
        <v>1159</v>
      </c>
      <c r="H159" s="98">
        <v>45724</v>
      </c>
      <c r="I159" s="198">
        <v>262.57</v>
      </c>
      <c r="J159" s="100">
        <v>26.257000000000001</v>
      </c>
      <c r="K159" s="100">
        <f t="shared" si="25"/>
        <v>288.827</v>
      </c>
      <c r="L159" s="99"/>
      <c r="M159" s="100" t="str">
        <f t="shared" si="21"/>
        <v/>
      </c>
      <c r="N159" s="100" t="str">
        <f t="shared" si="22"/>
        <v/>
      </c>
      <c r="O159" s="101" t="str">
        <f t="shared" si="26"/>
        <v>Completed</v>
      </c>
      <c r="P159" s="81">
        <f t="shared" si="23"/>
        <v>3</v>
      </c>
    </row>
    <row r="160" spans="1:16" x14ac:dyDescent="0.25">
      <c r="A160" s="187">
        <v>159</v>
      </c>
      <c r="B160" s="94"/>
      <c r="C160" s="200" t="s">
        <v>1160</v>
      </c>
      <c r="D160" s="81" t="s">
        <v>101</v>
      </c>
      <c r="E160" s="132"/>
      <c r="F160" s="146">
        <v>6017374169</v>
      </c>
      <c r="G160" s="183" t="s">
        <v>993</v>
      </c>
      <c r="H160" s="98">
        <v>45704</v>
      </c>
      <c r="I160" s="198">
        <v>832.54</v>
      </c>
      <c r="J160" s="100">
        <v>83.254000000000005</v>
      </c>
      <c r="K160" s="100">
        <f t="shared" si="25"/>
        <v>915.79399999999998</v>
      </c>
      <c r="L160" s="99"/>
      <c r="M160" s="100" t="str">
        <f t="shared" si="21"/>
        <v/>
      </c>
      <c r="N160" s="100" t="str">
        <f t="shared" si="22"/>
        <v/>
      </c>
      <c r="O160" s="101" t="str">
        <f t="shared" si="26"/>
        <v>WIP</v>
      </c>
      <c r="P160" s="81">
        <f t="shared" si="23"/>
        <v>2</v>
      </c>
    </row>
    <row r="161" spans="1:17" x14ac:dyDescent="0.25">
      <c r="A161" s="187">
        <v>160</v>
      </c>
      <c r="B161" s="94"/>
      <c r="C161" s="200" t="s">
        <v>1161</v>
      </c>
      <c r="D161" s="46" t="s">
        <v>262</v>
      </c>
      <c r="E161" s="132"/>
      <c r="F161" s="146">
        <v>6017374170</v>
      </c>
      <c r="G161" s="149" t="s">
        <v>1162</v>
      </c>
      <c r="H161" s="98"/>
      <c r="I161" s="198">
        <v>270.5</v>
      </c>
      <c r="J161" s="100">
        <v>27.05</v>
      </c>
      <c r="K161" s="100">
        <f t="shared" si="25"/>
        <v>297.55</v>
      </c>
      <c r="L161" s="99"/>
      <c r="M161" s="100" t="str">
        <f t="shared" si="21"/>
        <v/>
      </c>
      <c r="N161" s="100" t="str">
        <f t="shared" si="22"/>
        <v/>
      </c>
      <c r="O161" s="101" t="str">
        <f t="shared" si="26"/>
        <v>Completed</v>
      </c>
      <c r="P161" s="81" t="str">
        <f t="shared" si="23"/>
        <v/>
      </c>
    </row>
    <row r="162" spans="1:17" x14ac:dyDescent="0.25">
      <c r="A162" s="187">
        <v>161</v>
      </c>
      <c r="B162" s="94"/>
      <c r="C162" s="94" t="s">
        <v>1163</v>
      </c>
      <c r="D162" s="81" t="s">
        <v>104</v>
      </c>
      <c r="E162" s="132"/>
      <c r="F162" s="146">
        <v>6017375517</v>
      </c>
      <c r="G162" s="149" t="s">
        <v>1164</v>
      </c>
      <c r="H162" s="98">
        <v>45703</v>
      </c>
      <c r="I162" s="198"/>
      <c r="J162" s="100" t="s">
        <v>1631</v>
      </c>
      <c r="K162" s="100" t="str">
        <f t="shared" si="25"/>
        <v/>
      </c>
      <c r="L162" s="99"/>
      <c r="M162" s="100" t="str">
        <f t="shared" ref="M162:M172" si="27">IFERROR(IF(L162=0,"",L162*0.1),"")</f>
        <v/>
      </c>
      <c r="N162" s="100" t="str">
        <f t="shared" ref="N162:N172" si="28">IFERROR(IF(L162=0,"",(L162*0.1)+L162),"")</f>
        <v/>
      </c>
      <c r="O162" s="101" t="str">
        <f t="shared" si="26"/>
        <v>Completed</v>
      </c>
      <c r="P162" s="81">
        <f t="shared" ref="P162:P172" si="29">IF(H162="","",MONTH(H162))</f>
        <v>2</v>
      </c>
    </row>
    <row r="163" spans="1:17" x14ac:dyDescent="0.25">
      <c r="A163" s="81">
        <v>162</v>
      </c>
      <c r="B163" s="94"/>
      <c r="C163" s="202" t="s">
        <v>1165</v>
      </c>
      <c r="D163" s="6" t="s">
        <v>824</v>
      </c>
      <c r="E163" s="132">
        <v>45663</v>
      </c>
      <c r="F163" s="146"/>
      <c r="G163" s="132" t="s">
        <v>1632</v>
      </c>
      <c r="H163" s="98">
        <v>45724</v>
      </c>
      <c r="I163" s="198">
        <v>396</v>
      </c>
      <c r="J163" s="100">
        <v>39.6</v>
      </c>
      <c r="K163" s="100">
        <f t="shared" si="25"/>
        <v>435.6</v>
      </c>
      <c r="L163" s="99"/>
      <c r="M163" s="100" t="str">
        <f t="shared" si="27"/>
        <v/>
      </c>
      <c r="N163" s="100" t="str">
        <f t="shared" si="28"/>
        <v/>
      </c>
      <c r="O163" s="101" t="str">
        <f t="shared" si="26"/>
        <v>Completed</v>
      </c>
      <c r="P163" s="81">
        <f t="shared" si="29"/>
        <v>3</v>
      </c>
    </row>
    <row r="164" spans="1:17" x14ac:dyDescent="0.25">
      <c r="A164" s="187">
        <v>163</v>
      </c>
      <c r="B164" s="94"/>
      <c r="C164" s="202" t="s">
        <v>1166</v>
      </c>
      <c r="D164" s="81" t="s">
        <v>27</v>
      </c>
      <c r="E164" s="132">
        <v>45664</v>
      </c>
      <c r="F164" s="146"/>
      <c r="G164" s="132" t="s">
        <v>1633</v>
      </c>
      <c r="H164" s="98">
        <v>45703</v>
      </c>
      <c r="I164" s="198">
        <v>1409</v>
      </c>
      <c r="J164" s="100">
        <v>140.9</v>
      </c>
      <c r="K164" s="100">
        <f t="shared" si="25"/>
        <v>1549.9</v>
      </c>
      <c r="L164" s="99"/>
      <c r="M164" s="100" t="str">
        <f t="shared" si="27"/>
        <v/>
      </c>
      <c r="N164" s="100" t="str">
        <f t="shared" si="28"/>
        <v/>
      </c>
      <c r="O164" s="101" t="str">
        <f t="shared" si="26"/>
        <v>Completed</v>
      </c>
      <c r="P164" s="81">
        <f t="shared" si="29"/>
        <v>2</v>
      </c>
    </row>
    <row r="165" spans="1:17" x14ac:dyDescent="0.25">
      <c r="A165" s="187">
        <v>164</v>
      </c>
      <c r="B165" s="94"/>
      <c r="C165" s="94" t="s">
        <v>1167</v>
      </c>
      <c r="D165" s="81" t="s">
        <v>132</v>
      </c>
      <c r="E165" s="132"/>
      <c r="F165" s="146"/>
      <c r="G165" s="132" t="s">
        <v>1634</v>
      </c>
      <c r="H165" s="98">
        <v>45726</v>
      </c>
      <c r="I165" s="198">
        <v>1549.9</v>
      </c>
      <c r="J165" s="100">
        <v>154.99</v>
      </c>
      <c r="K165" s="100">
        <f t="shared" si="25"/>
        <v>1704.89</v>
      </c>
      <c r="L165" s="99"/>
      <c r="M165" s="100" t="str">
        <f t="shared" si="27"/>
        <v/>
      </c>
      <c r="N165" s="100" t="str">
        <f t="shared" si="28"/>
        <v/>
      </c>
      <c r="O165" s="101" t="str">
        <f t="shared" si="26"/>
        <v>Completed</v>
      </c>
      <c r="P165" s="81">
        <f t="shared" si="29"/>
        <v>3</v>
      </c>
    </row>
    <row r="166" spans="1:17" x14ac:dyDescent="0.25">
      <c r="A166" s="187">
        <v>165</v>
      </c>
      <c r="B166" s="94"/>
      <c r="C166" s="203" t="s">
        <v>1168</v>
      </c>
      <c r="D166" s="81" t="s">
        <v>153</v>
      </c>
      <c r="E166" s="132"/>
      <c r="F166" s="146" t="s">
        <v>1169</v>
      </c>
      <c r="G166" s="132" t="s">
        <v>1658</v>
      </c>
      <c r="H166" s="98">
        <v>45663</v>
      </c>
      <c r="I166" s="198">
        <v>321.2</v>
      </c>
      <c r="J166" s="100">
        <v>32.119999999999997</v>
      </c>
      <c r="K166" s="100">
        <f t="shared" si="25"/>
        <v>353.32</v>
      </c>
      <c r="L166" s="99"/>
      <c r="M166" s="100" t="str">
        <f t="shared" si="27"/>
        <v/>
      </c>
      <c r="N166" s="100" t="str">
        <f t="shared" si="28"/>
        <v/>
      </c>
      <c r="O166" s="101" t="str">
        <f t="shared" si="26"/>
        <v>Completed</v>
      </c>
      <c r="P166" s="81">
        <f t="shared" si="29"/>
        <v>1</v>
      </c>
    </row>
    <row r="167" spans="1:17" x14ac:dyDescent="0.25">
      <c r="A167" s="187">
        <v>166</v>
      </c>
      <c r="B167" s="94"/>
      <c r="C167" s="203" t="s">
        <v>1170</v>
      </c>
      <c r="D167" s="81" t="s">
        <v>206</v>
      </c>
      <c r="E167" s="132"/>
      <c r="F167" s="146">
        <v>6017375520</v>
      </c>
      <c r="G167" s="132" t="s">
        <v>1659</v>
      </c>
      <c r="H167" s="98">
        <v>45703</v>
      </c>
      <c r="I167" s="198">
        <v>668.5</v>
      </c>
      <c r="J167" s="100">
        <v>66.850000000000009</v>
      </c>
      <c r="K167" s="100">
        <f t="shared" si="25"/>
        <v>735.35</v>
      </c>
      <c r="L167" s="99"/>
      <c r="M167" s="100" t="str">
        <f t="shared" si="27"/>
        <v/>
      </c>
      <c r="N167" s="100" t="str">
        <f t="shared" si="28"/>
        <v/>
      </c>
      <c r="O167" s="101" t="str">
        <f t="shared" si="26"/>
        <v>Completed</v>
      </c>
      <c r="P167" s="81">
        <f t="shared" si="29"/>
        <v>2</v>
      </c>
    </row>
    <row r="168" spans="1:17" x14ac:dyDescent="0.25">
      <c r="A168" s="187">
        <v>167</v>
      </c>
      <c r="B168" s="94"/>
      <c r="C168" s="203" t="s">
        <v>1171</v>
      </c>
      <c r="D168" s="81" t="s">
        <v>153</v>
      </c>
      <c r="E168" s="132"/>
      <c r="F168" s="146">
        <v>6017377305</v>
      </c>
      <c r="G168" s="183" t="s">
        <v>993</v>
      </c>
      <c r="H168" s="98"/>
      <c r="I168" s="198"/>
      <c r="J168" s="100" t="s">
        <v>1631</v>
      </c>
      <c r="K168" s="100" t="str">
        <f t="shared" si="25"/>
        <v/>
      </c>
      <c r="L168" s="99"/>
      <c r="M168" s="100" t="str">
        <f t="shared" si="27"/>
        <v/>
      </c>
      <c r="N168" s="100" t="str">
        <f t="shared" si="28"/>
        <v/>
      </c>
      <c r="O168" s="101" t="str">
        <f t="shared" si="26"/>
        <v>WIP</v>
      </c>
      <c r="P168" s="81" t="str">
        <f t="shared" si="29"/>
        <v/>
      </c>
    </row>
    <row r="169" spans="1:17" x14ac:dyDescent="0.25">
      <c r="A169" s="187">
        <v>168</v>
      </c>
      <c r="B169" s="94"/>
      <c r="C169" s="203" t="s">
        <v>1172</v>
      </c>
      <c r="D169" s="81" t="s">
        <v>104</v>
      </c>
      <c r="E169" s="132"/>
      <c r="F169" s="146"/>
      <c r="G169" s="132" t="s">
        <v>1660</v>
      </c>
      <c r="H169" s="98">
        <v>45757</v>
      </c>
      <c r="I169" s="99">
        <v>1260</v>
      </c>
      <c r="J169" s="100">
        <v>126</v>
      </c>
      <c r="K169" s="100">
        <f t="shared" ref="K169:K201" si="30">IFERROR(IF(I169=0,"",(I169*0.1)+I169),"")</f>
        <v>1386</v>
      </c>
      <c r="L169" s="99"/>
      <c r="M169" s="100" t="str">
        <f t="shared" si="27"/>
        <v/>
      </c>
      <c r="N169" s="100" t="str">
        <f t="shared" si="28"/>
        <v/>
      </c>
      <c r="O169" s="101" t="str">
        <f t="shared" si="26"/>
        <v>Completed</v>
      </c>
      <c r="P169" s="81">
        <f t="shared" si="29"/>
        <v>4</v>
      </c>
    </row>
    <row r="170" spans="1:17" s="343" customFormat="1" x14ac:dyDescent="0.25">
      <c r="A170" s="357">
        <v>169</v>
      </c>
      <c r="B170" s="105"/>
      <c r="C170" s="392" t="s">
        <v>1173</v>
      </c>
      <c r="D170" s="81">
        <v>6</v>
      </c>
      <c r="E170" s="195"/>
      <c r="F170" s="206"/>
      <c r="G170" s="183" t="s">
        <v>993</v>
      </c>
      <c r="H170" s="98"/>
      <c r="I170" s="99"/>
      <c r="J170" s="100"/>
      <c r="K170" s="100" t="str">
        <f t="shared" si="30"/>
        <v/>
      </c>
      <c r="L170" s="109"/>
      <c r="M170" s="110" t="str">
        <f t="shared" si="27"/>
        <v/>
      </c>
      <c r="N170" s="110" t="str">
        <f t="shared" si="28"/>
        <v/>
      </c>
      <c r="O170" s="111" t="str">
        <f t="shared" si="26"/>
        <v>WIP</v>
      </c>
      <c r="P170" s="83" t="str">
        <f t="shared" si="29"/>
        <v/>
      </c>
      <c r="Q170" s="343" t="s">
        <v>1703</v>
      </c>
    </row>
    <row r="171" spans="1:17" s="238" customFormat="1" x14ac:dyDescent="0.25">
      <c r="A171" s="187">
        <v>170</v>
      </c>
      <c r="B171" s="114"/>
      <c r="C171" s="396" t="s">
        <v>1174</v>
      </c>
      <c r="D171" s="213" t="s">
        <v>1704</v>
      </c>
      <c r="E171" s="149">
        <v>45672</v>
      </c>
      <c r="F171" s="397">
        <v>6017377818</v>
      </c>
      <c r="G171" s="149" t="s">
        <v>1661</v>
      </c>
      <c r="H171" s="398">
        <v>45735</v>
      </c>
      <c r="I171" s="130">
        <v>486.52</v>
      </c>
      <c r="J171" s="399">
        <v>48.652000000000001</v>
      </c>
      <c r="K171" s="399">
        <f t="shared" si="30"/>
        <v>535.17200000000003</v>
      </c>
      <c r="L171" s="130">
        <v>374.25099999999998</v>
      </c>
      <c r="M171" s="399">
        <f t="shared" si="27"/>
        <v>37.4251</v>
      </c>
      <c r="N171" s="399">
        <f t="shared" si="28"/>
        <v>411.67609999999996</v>
      </c>
      <c r="O171" s="400" t="str">
        <f t="shared" si="26"/>
        <v>Completed</v>
      </c>
      <c r="P171" s="213">
        <f t="shared" si="29"/>
        <v>3</v>
      </c>
    </row>
    <row r="172" spans="1:17" x14ac:dyDescent="0.25">
      <c r="A172" s="187">
        <v>171</v>
      </c>
      <c r="B172" s="94"/>
      <c r="C172" s="392" t="s">
        <v>1175</v>
      </c>
      <c r="D172" s="81" t="s">
        <v>314</v>
      </c>
      <c r="E172" s="132">
        <v>45678</v>
      </c>
      <c r="F172" s="146">
        <v>6017379355</v>
      </c>
      <c r="G172" s="132" t="s">
        <v>1637</v>
      </c>
      <c r="H172" s="98">
        <v>45757</v>
      </c>
      <c r="I172" s="99">
        <v>2672</v>
      </c>
      <c r="J172" s="100">
        <v>267.2</v>
      </c>
      <c r="K172" s="100">
        <f t="shared" si="30"/>
        <v>2939.2</v>
      </c>
      <c r="L172" s="99">
        <v>2324.9050000000002</v>
      </c>
      <c r="M172" s="100">
        <f t="shared" si="27"/>
        <v>232.49050000000003</v>
      </c>
      <c r="N172" s="100">
        <f t="shared" si="28"/>
        <v>2557.3955000000001</v>
      </c>
      <c r="O172" s="101" t="str">
        <f t="shared" si="26"/>
        <v>Completed</v>
      </c>
      <c r="P172" s="81">
        <f t="shared" si="29"/>
        <v>4</v>
      </c>
    </row>
    <row r="173" spans="1:17" x14ac:dyDescent="0.25">
      <c r="A173" s="187">
        <v>172</v>
      </c>
      <c r="B173" s="94"/>
      <c r="C173" s="392" t="s">
        <v>1176</v>
      </c>
      <c r="D173" s="81" t="s">
        <v>335</v>
      </c>
      <c r="E173" s="132">
        <v>45687</v>
      </c>
      <c r="F173" s="146">
        <v>6017379356</v>
      </c>
      <c r="G173" s="132" t="s">
        <v>1636</v>
      </c>
      <c r="H173" s="98">
        <v>45757</v>
      </c>
      <c r="I173" s="99">
        <v>1265.5</v>
      </c>
      <c r="J173" s="100">
        <v>126.55</v>
      </c>
      <c r="K173" s="100">
        <f t="shared" si="30"/>
        <v>1392.05</v>
      </c>
      <c r="L173" s="99">
        <v>1012.3630000000001</v>
      </c>
      <c r="M173" s="100">
        <f t="shared" ref="M173:M174" si="31">IFERROR(IF(L173=0,"",L173*0.1),"")</f>
        <v>101.23630000000001</v>
      </c>
      <c r="N173" s="100">
        <f t="shared" ref="N173:N174" si="32">IFERROR(IF(L173=0,"",(L173*0.1)+L173),"")</f>
        <v>1113.5993000000001</v>
      </c>
      <c r="O173" s="101" t="str">
        <f t="shared" si="26"/>
        <v>Completed</v>
      </c>
      <c r="P173" s="81">
        <v>4</v>
      </c>
    </row>
    <row r="174" spans="1:17" s="238" customFormat="1" x14ac:dyDescent="0.25">
      <c r="A174" s="187">
        <v>173</v>
      </c>
      <c r="B174" s="114"/>
      <c r="C174" s="396" t="s">
        <v>1177</v>
      </c>
      <c r="D174" s="213" t="s">
        <v>339</v>
      </c>
      <c r="E174" s="149">
        <v>45738</v>
      </c>
      <c r="F174" s="397">
        <v>6017380921</v>
      </c>
      <c r="G174" s="149" t="s">
        <v>1638</v>
      </c>
      <c r="H174" s="398">
        <v>45774</v>
      </c>
      <c r="I174" s="130">
        <v>3492</v>
      </c>
      <c r="J174" s="399">
        <v>349.2</v>
      </c>
      <c r="K174" s="399">
        <f t="shared" si="30"/>
        <v>3841.2</v>
      </c>
      <c r="L174" s="130">
        <v>3170.1149999999998</v>
      </c>
      <c r="M174" s="399">
        <f t="shared" si="31"/>
        <v>317.01150000000001</v>
      </c>
      <c r="N174" s="399">
        <f t="shared" si="32"/>
        <v>3487.1264999999999</v>
      </c>
      <c r="O174" s="400" t="str">
        <f t="shared" si="26"/>
        <v>Completed</v>
      </c>
      <c r="P174" s="213"/>
      <c r="Q174" s="238" t="s">
        <v>1705</v>
      </c>
    </row>
    <row r="175" spans="1:17" x14ac:dyDescent="0.25">
      <c r="A175" s="187">
        <v>174</v>
      </c>
      <c r="B175" s="94"/>
      <c r="C175" s="392" t="s">
        <v>1178</v>
      </c>
      <c r="D175" s="81" t="s">
        <v>364</v>
      </c>
      <c r="E175" s="132">
        <v>45700</v>
      </c>
      <c r="F175" s="146">
        <v>6017377822</v>
      </c>
      <c r="G175" s="132" t="s">
        <v>1635</v>
      </c>
      <c r="H175" s="98">
        <v>45732</v>
      </c>
      <c r="I175" s="99">
        <v>2437.5</v>
      </c>
      <c r="J175" s="100">
        <v>243.75</v>
      </c>
      <c r="K175" s="100">
        <f t="shared" si="30"/>
        <v>2681.25</v>
      </c>
      <c r="L175" s="99">
        <v>2031.886</v>
      </c>
      <c r="M175" s="399">
        <f t="shared" ref="M175:M187" si="33">IFERROR(IF(L175=0,"",L175*0.1),"")</f>
        <v>203.18860000000001</v>
      </c>
      <c r="N175" s="399">
        <f t="shared" ref="N175:N187" si="34">IFERROR(IF(L175=0,"",(L175*0.1)+L175),"")</f>
        <v>2235.0745999999999</v>
      </c>
      <c r="O175" s="101" t="str">
        <f t="shared" si="26"/>
        <v>Completed</v>
      </c>
      <c r="P175" s="81"/>
    </row>
    <row r="176" spans="1:17" x14ac:dyDescent="0.25">
      <c r="A176" s="187">
        <v>175</v>
      </c>
      <c r="B176" s="94"/>
      <c r="C176" s="392" t="s">
        <v>1179</v>
      </c>
      <c r="D176" s="81" t="s">
        <v>369</v>
      </c>
      <c r="E176" s="132">
        <v>45703</v>
      </c>
      <c r="F176" s="146">
        <v>6017379357</v>
      </c>
      <c r="G176" s="132" t="s">
        <v>1662</v>
      </c>
      <c r="H176" s="98">
        <v>45756</v>
      </c>
      <c r="I176" s="99">
        <v>404</v>
      </c>
      <c r="J176" s="100">
        <v>40.4</v>
      </c>
      <c r="K176" s="100">
        <f t="shared" si="30"/>
        <v>444.4</v>
      </c>
      <c r="L176" s="99">
        <v>367.23099999999999</v>
      </c>
      <c r="M176" s="100">
        <f t="shared" si="33"/>
        <v>36.723100000000002</v>
      </c>
      <c r="N176" s="100">
        <f t="shared" si="34"/>
        <v>403.95409999999998</v>
      </c>
      <c r="O176" s="101" t="str">
        <f t="shared" si="26"/>
        <v>Completed</v>
      </c>
      <c r="P176" s="81"/>
    </row>
    <row r="177" spans="1:16" x14ac:dyDescent="0.25">
      <c r="A177" s="187">
        <v>176</v>
      </c>
      <c r="B177" s="94"/>
      <c r="C177" s="392" t="s">
        <v>1180</v>
      </c>
      <c r="D177" s="81" t="s">
        <v>372</v>
      </c>
      <c r="E177" s="132">
        <v>45703</v>
      </c>
      <c r="F177" s="146">
        <v>6017380923</v>
      </c>
      <c r="G177" s="132" t="s">
        <v>1663</v>
      </c>
      <c r="H177" s="98">
        <v>45769</v>
      </c>
      <c r="I177" s="99">
        <v>1758</v>
      </c>
      <c r="J177" s="100">
        <v>175.8</v>
      </c>
      <c r="K177" s="100">
        <f t="shared" si="30"/>
        <v>1933.8</v>
      </c>
      <c r="L177" s="99">
        <v>1634.076</v>
      </c>
      <c r="M177" s="100">
        <f t="shared" si="33"/>
        <v>163.4076</v>
      </c>
      <c r="N177" s="100">
        <f t="shared" si="34"/>
        <v>1797.4836</v>
      </c>
      <c r="O177" s="101" t="str">
        <f t="shared" si="26"/>
        <v>Completed</v>
      </c>
      <c r="P177" s="81"/>
    </row>
    <row r="178" spans="1:16" x14ac:dyDescent="0.25">
      <c r="A178" s="187">
        <v>177</v>
      </c>
      <c r="B178" s="94"/>
      <c r="C178" s="392" t="s">
        <v>1181</v>
      </c>
      <c r="D178" s="81" t="s">
        <v>374</v>
      </c>
      <c r="E178" s="132">
        <v>45699</v>
      </c>
      <c r="F178" s="146">
        <v>6017377821</v>
      </c>
      <c r="G178" s="132" t="s">
        <v>1664</v>
      </c>
      <c r="H178" s="98">
        <v>45735</v>
      </c>
      <c r="I178" s="99">
        <v>280</v>
      </c>
      <c r="J178" s="100">
        <v>28</v>
      </c>
      <c r="K178" s="100">
        <f t="shared" si="30"/>
        <v>308</v>
      </c>
      <c r="L178" s="99">
        <v>232.816</v>
      </c>
      <c r="M178" s="100">
        <f t="shared" si="33"/>
        <v>23.281600000000001</v>
      </c>
      <c r="N178" s="100">
        <f t="shared" si="34"/>
        <v>256.0976</v>
      </c>
      <c r="O178" s="101" t="str">
        <f t="shared" si="26"/>
        <v>Completed</v>
      </c>
      <c r="P178" s="81"/>
    </row>
    <row r="179" spans="1:16" x14ac:dyDescent="0.25">
      <c r="A179" s="187">
        <v>178</v>
      </c>
      <c r="B179" s="94"/>
      <c r="C179" s="392" t="s">
        <v>1182</v>
      </c>
      <c r="D179" s="81" t="s">
        <v>387</v>
      </c>
      <c r="E179" s="132">
        <v>45703</v>
      </c>
      <c r="F179" s="146">
        <v>6017379358</v>
      </c>
      <c r="G179" s="132" t="s">
        <v>1665</v>
      </c>
      <c r="H179" s="98">
        <v>45760</v>
      </c>
      <c r="I179" s="99">
        <v>1806</v>
      </c>
      <c r="J179" s="100">
        <v>180.6</v>
      </c>
      <c r="K179" s="100">
        <f t="shared" si="30"/>
        <v>1986.6</v>
      </c>
      <c r="L179" s="99">
        <v>1504.712</v>
      </c>
      <c r="M179" s="100">
        <f t="shared" si="33"/>
        <v>150.47120000000001</v>
      </c>
      <c r="N179" s="100">
        <f t="shared" si="34"/>
        <v>1655.1831999999999</v>
      </c>
      <c r="O179" s="101" t="str">
        <f t="shared" si="26"/>
        <v>Completed</v>
      </c>
      <c r="P179" s="81"/>
    </row>
    <row r="180" spans="1:16" x14ac:dyDescent="0.25">
      <c r="A180" s="187">
        <v>179</v>
      </c>
      <c r="B180" s="94"/>
      <c r="C180" s="392" t="s">
        <v>1183</v>
      </c>
      <c r="D180" s="81" t="s">
        <v>398</v>
      </c>
      <c r="E180" s="132">
        <v>45727</v>
      </c>
      <c r="F180" s="146">
        <v>6017384443</v>
      </c>
      <c r="G180" s="132" t="s">
        <v>1666</v>
      </c>
      <c r="H180" s="98">
        <v>45824</v>
      </c>
      <c r="I180" s="99">
        <v>2528</v>
      </c>
      <c r="J180" s="100">
        <v>252.8</v>
      </c>
      <c r="K180" s="100">
        <f t="shared" si="30"/>
        <v>2780.8</v>
      </c>
      <c r="L180" s="99">
        <v>2020.154</v>
      </c>
      <c r="M180" s="100">
        <f t="shared" si="33"/>
        <v>202.0154</v>
      </c>
      <c r="N180" s="100">
        <f t="shared" si="34"/>
        <v>2222.1693999999998</v>
      </c>
      <c r="O180" s="101" t="str">
        <f t="shared" si="26"/>
        <v>Completed</v>
      </c>
      <c r="P180" s="81"/>
    </row>
    <row r="181" spans="1:16" x14ac:dyDescent="0.25">
      <c r="A181" s="187">
        <v>180</v>
      </c>
      <c r="B181" s="94"/>
      <c r="C181" s="392" t="s">
        <v>1184</v>
      </c>
      <c r="D181" s="81" t="s">
        <v>400</v>
      </c>
      <c r="E181" s="132">
        <v>45706</v>
      </c>
      <c r="F181" s="146">
        <v>6017380920</v>
      </c>
      <c r="G181" s="132" t="s">
        <v>1667</v>
      </c>
      <c r="H181" s="98">
        <v>45769</v>
      </c>
      <c r="I181" s="99">
        <v>868.4</v>
      </c>
      <c r="J181" s="100">
        <v>86.84</v>
      </c>
      <c r="K181" s="100">
        <f t="shared" si="30"/>
        <v>955.24</v>
      </c>
      <c r="L181" s="99">
        <v>694.07600000000002</v>
      </c>
      <c r="M181" s="100">
        <f t="shared" si="33"/>
        <v>69.407600000000002</v>
      </c>
      <c r="N181" s="100">
        <f t="shared" si="34"/>
        <v>763.48360000000002</v>
      </c>
      <c r="O181" s="101" t="str">
        <f t="shared" si="26"/>
        <v>Completed</v>
      </c>
      <c r="P181" s="81"/>
    </row>
    <row r="182" spans="1:16" x14ac:dyDescent="0.25">
      <c r="A182" s="187">
        <v>181</v>
      </c>
      <c r="B182" s="94"/>
      <c r="C182" s="392" t="s">
        <v>1527</v>
      </c>
      <c r="D182" s="81" t="s">
        <v>405</v>
      </c>
      <c r="E182" s="132">
        <v>45726</v>
      </c>
      <c r="F182" s="146">
        <v>6017380924</v>
      </c>
      <c r="G182" s="132" t="s">
        <v>1668</v>
      </c>
      <c r="H182" s="98">
        <v>45769</v>
      </c>
      <c r="I182" s="99">
        <v>368</v>
      </c>
      <c r="J182" s="100">
        <v>36.799999999999997</v>
      </c>
      <c r="K182" s="100">
        <f t="shared" si="30"/>
        <v>404.8</v>
      </c>
      <c r="L182" s="99">
        <v>299.99299999999999</v>
      </c>
      <c r="M182" s="100">
        <f t="shared" si="33"/>
        <v>29.999300000000002</v>
      </c>
      <c r="N182" s="100">
        <f t="shared" si="34"/>
        <v>329.9923</v>
      </c>
      <c r="O182" s="101" t="str">
        <f t="shared" si="26"/>
        <v>Completed</v>
      </c>
      <c r="P182" s="81"/>
    </row>
    <row r="183" spans="1:16" s="282" customFormat="1" x14ac:dyDescent="0.25">
      <c r="A183" s="283">
        <v>182</v>
      </c>
      <c r="B183" s="401"/>
      <c r="C183" s="402" t="s">
        <v>1528</v>
      </c>
      <c r="D183" s="281" t="s">
        <v>408</v>
      </c>
      <c r="E183" s="403">
        <v>45716</v>
      </c>
      <c r="F183" s="404">
        <v>6017382927</v>
      </c>
      <c r="G183" s="403" t="s">
        <v>1641</v>
      </c>
      <c r="H183" s="405">
        <v>45805</v>
      </c>
      <c r="I183" s="406">
        <v>3705</v>
      </c>
      <c r="J183" s="407">
        <v>370.5</v>
      </c>
      <c r="K183" s="407">
        <f t="shared" si="30"/>
        <v>4075.5</v>
      </c>
      <c r="L183" s="406">
        <v>2186</v>
      </c>
      <c r="M183" s="407">
        <f t="shared" si="33"/>
        <v>218.60000000000002</v>
      </c>
      <c r="N183" s="407">
        <f t="shared" si="34"/>
        <v>2404.6</v>
      </c>
      <c r="O183" s="408" t="str">
        <f t="shared" si="26"/>
        <v>Completed</v>
      </c>
      <c r="P183" s="281"/>
    </row>
    <row r="184" spans="1:16" x14ac:dyDescent="0.25">
      <c r="A184" s="187">
        <v>183</v>
      </c>
      <c r="B184" s="94"/>
      <c r="C184" s="392" t="s">
        <v>1529</v>
      </c>
      <c r="D184" s="81" t="s">
        <v>413</v>
      </c>
      <c r="E184" s="132">
        <v>45721</v>
      </c>
      <c r="F184" s="146">
        <v>6017381855</v>
      </c>
      <c r="G184" s="132" t="s">
        <v>1669</v>
      </c>
      <c r="H184" s="98">
        <v>45789</v>
      </c>
      <c r="I184" s="99">
        <v>857</v>
      </c>
      <c r="J184" s="100">
        <v>85.7</v>
      </c>
      <c r="K184" s="100">
        <f t="shared" si="30"/>
        <v>942.7</v>
      </c>
      <c r="L184" s="99">
        <v>732.33100000000002</v>
      </c>
      <c r="M184" s="100">
        <f t="shared" si="33"/>
        <v>73.233100000000007</v>
      </c>
      <c r="N184" s="100">
        <f t="shared" si="34"/>
        <v>805.56410000000005</v>
      </c>
      <c r="O184" s="101" t="str">
        <f t="shared" si="26"/>
        <v>Completed</v>
      </c>
      <c r="P184" s="81"/>
    </row>
    <row r="185" spans="1:16" ht="26.65" customHeight="1" x14ac:dyDescent="0.25">
      <c r="A185" s="187">
        <v>184</v>
      </c>
      <c r="B185" s="94"/>
      <c r="C185" s="392" t="s">
        <v>1530</v>
      </c>
      <c r="D185" s="81" t="s">
        <v>196</v>
      </c>
      <c r="E185" s="132">
        <v>45743</v>
      </c>
      <c r="F185" s="146">
        <v>6017384444</v>
      </c>
      <c r="G185" s="132" t="s">
        <v>1670</v>
      </c>
      <c r="H185" s="98">
        <v>45825</v>
      </c>
      <c r="I185" s="99">
        <v>1342</v>
      </c>
      <c r="J185" s="100">
        <v>134.19999999999999</v>
      </c>
      <c r="K185" s="100">
        <f t="shared" si="30"/>
        <v>1476.2</v>
      </c>
      <c r="L185" s="99">
        <v>1072.7829999999999</v>
      </c>
      <c r="M185" s="100">
        <f t="shared" si="33"/>
        <v>107.2783</v>
      </c>
      <c r="N185" s="100">
        <f t="shared" si="34"/>
        <v>1180.0612999999998</v>
      </c>
      <c r="O185" s="101" t="str">
        <f t="shared" si="26"/>
        <v>Completed</v>
      </c>
      <c r="P185" s="81"/>
    </row>
    <row r="186" spans="1:16" x14ac:dyDescent="0.25">
      <c r="A186" s="187">
        <v>185</v>
      </c>
      <c r="B186" s="94"/>
      <c r="C186" s="392" t="s">
        <v>1531</v>
      </c>
      <c r="D186" s="81" t="s">
        <v>431</v>
      </c>
      <c r="E186" s="132">
        <v>45722</v>
      </c>
      <c r="F186" s="146">
        <v>6017380927</v>
      </c>
      <c r="G186" s="132" t="s">
        <v>1639</v>
      </c>
      <c r="H186" s="98">
        <v>45774</v>
      </c>
      <c r="I186" s="99">
        <v>232</v>
      </c>
      <c r="J186" s="100">
        <v>23.2</v>
      </c>
      <c r="K186" s="100">
        <f t="shared" si="30"/>
        <v>255.2</v>
      </c>
      <c r="L186" s="99">
        <v>211.07599999999999</v>
      </c>
      <c r="M186" s="100">
        <f t="shared" si="33"/>
        <v>21.107600000000001</v>
      </c>
      <c r="N186" s="100">
        <f t="shared" si="34"/>
        <v>232.18359999999998</v>
      </c>
      <c r="O186" s="101" t="str">
        <f t="shared" si="26"/>
        <v>Completed</v>
      </c>
      <c r="P186" s="81"/>
    </row>
    <row r="187" spans="1:16" x14ac:dyDescent="0.25">
      <c r="A187" s="187">
        <v>186</v>
      </c>
      <c r="B187" s="94"/>
      <c r="C187" s="392" t="s">
        <v>1532</v>
      </c>
      <c r="D187" s="81" t="s">
        <v>382</v>
      </c>
      <c r="E187" s="132">
        <v>45750</v>
      </c>
      <c r="F187" s="146">
        <v>6017381854</v>
      </c>
      <c r="G187" s="132" t="s">
        <v>1640</v>
      </c>
      <c r="H187" s="98">
        <v>45785</v>
      </c>
      <c r="I187" s="99">
        <v>2584</v>
      </c>
      <c r="J187" s="100">
        <v>258.39999999999998</v>
      </c>
      <c r="K187" s="100">
        <f t="shared" si="30"/>
        <v>2842.4</v>
      </c>
      <c r="L187" s="99">
        <v>2118.098</v>
      </c>
      <c r="M187" s="100">
        <f t="shared" si="33"/>
        <v>211.8098</v>
      </c>
      <c r="N187" s="100">
        <f t="shared" si="34"/>
        <v>2329.9078</v>
      </c>
      <c r="O187" s="101" t="str">
        <f t="shared" si="26"/>
        <v>Completed</v>
      </c>
      <c r="P187" s="81"/>
    </row>
    <row r="188" spans="1:16" x14ac:dyDescent="0.25">
      <c r="A188" s="187">
        <v>187</v>
      </c>
      <c r="B188" s="94"/>
      <c r="C188" s="393" t="s">
        <v>1533</v>
      </c>
      <c r="D188" s="81" t="s">
        <v>454</v>
      </c>
      <c r="E188" s="132">
        <v>45664</v>
      </c>
      <c r="F188" s="146" t="s">
        <v>1710</v>
      </c>
      <c r="G188" s="132" t="s">
        <v>1671</v>
      </c>
      <c r="H188" s="98">
        <v>45797</v>
      </c>
      <c r="I188" s="99">
        <v>300</v>
      </c>
      <c r="J188" s="100">
        <v>30</v>
      </c>
      <c r="K188" s="100">
        <f t="shared" si="30"/>
        <v>330</v>
      </c>
      <c r="L188" s="99">
        <v>100</v>
      </c>
      <c r="M188" s="100">
        <f t="shared" ref="M188:M200" si="35">L188*10%</f>
        <v>10</v>
      </c>
      <c r="N188" s="100">
        <f t="shared" ref="N188:N200" si="36">L188+M188</f>
        <v>110</v>
      </c>
      <c r="O188" s="101" t="str">
        <f t="shared" si="26"/>
        <v>Completed</v>
      </c>
      <c r="P188" s="81"/>
    </row>
    <row r="189" spans="1:16" x14ac:dyDescent="0.25">
      <c r="A189" s="187">
        <v>188</v>
      </c>
      <c r="B189" s="94"/>
      <c r="C189" s="393" t="s">
        <v>1534</v>
      </c>
      <c r="D189" s="81" t="s">
        <v>459</v>
      </c>
      <c r="E189" s="132">
        <v>45755</v>
      </c>
      <c r="F189" s="146">
        <v>6017395578</v>
      </c>
      <c r="G189" s="132" t="s">
        <v>1672</v>
      </c>
      <c r="H189" s="98">
        <v>45971</v>
      </c>
      <c r="I189" s="99">
        <v>1990</v>
      </c>
      <c r="J189" s="100">
        <v>199</v>
      </c>
      <c r="K189" s="100">
        <f t="shared" si="30"/>
        <v>2189</v>
      </c>
      <c r="L189" s="395">
        <v>1756.0619999999999</v>
      </c>
      <c r="M189" s="100">
        <f t="shared" si="35"/>
        <v>175.6062</v>
      </c>
      <c r="N189" s="100">
        <f t="shared" si="36"/>
        <v>1931.6681999999998</v>
      </c>
      <c r="O189" s="101" t="str">
        <f t="shared" si="26"/>
        <v>Completed</v>
      </c>
      <c r="P189" s="81"/>
    </row>
    <row r="190" spans="1:16" x14ac:dyDescent="0.25">
      <c r="A190" s="187">
        <v>189</v>
      </c>
      <c r="B190" s="94"/>
      <c r="C190" s="393" t="s">
        <v>1535</v>
      </c>
      <c r="D190" s="81" t="s">
        <v>461</v>
      </c>
      <c r="E190" s="132">
        <v>45771</v>
      </c>
      <c r="F190" s="146">
        <v>6017384449</v>
      </c>
      <c r="G190" s="132" t="s">
        <v>1673</v>
      </c>
      <c r="H190" s="98">
        <v>45825</v>
      </c>
      <c r="I190" s="99">
        <v>1496</v>
      </c>
      <c r="J190" s="100">
        <v>149.6</v>
      </c>
      <c r="K190" s="100">
        <f t="shared" si="30"/>
        <v>1645.6</v>
      </c>
      <c r="L190" s="99">
        <v>1361.1659999999999</v>
      </c>
      <c r="M190" s="100">
        <f t="shared" si="35"/>
        <v>136.11660000000001</v>
      </c>
      <c r="N190" s="100">
        <f t="shared" si="36"/>
        <v>1497.2826</v>
      </c>
      <c r="O190" s="101" t="str">
        <f t="shared" si="26"/>
        <v>Completed</v>
      </c>
      <c r="P190" s="81"/>
    </row>
    <row r="191" spans="1:16" x14ac:dyDescent="0.25">
      <c r="A191" s="187">
        <v>190</v>
      </c>
      <c r="B191" s="94"/>
      <c r="C191" s="393" t="s">
        <v>1536</v>
      </c>
      <c r="D191" s="81" t="s">
        <v>463</v>
      </c>
      <c r="E191" s="132">
        <v>45773</v>
      </c>
      <c r="F191" s="146">
        <v>6017390604</v>
      </c>
      <c r="G191" s="132" t="s">
        <v>1648</v>
      </c>
      <c r="H191" s="98">
        <v>45900</v>
      </c>
      <c r="I191" s="99">
        <v>738</v>
      </c>
      <c r="J191" s="100">
        <v>73.8</v>
      </c>
      <c r="K191" s="100">
        <f t="shared" si="30"/>
        <v>811.8</v>
      </c>
      <c r="L191" s="99">
        <v>678.44399999999996</v>
      </c>
      <c r="M191" s="100">
        <f t="shared" si="35"/>
        <v>67.844399999999993</v>
      </c>
      <c r="N191" s="100">
        <f t="shared" si="36"/>
        <v>746.28839999999991</v>
      </c>
      <c r="O191" s="101" t="str">
        <f t="shared" si="26"/>
        <v>Completed</v>
      </c>
      <c r="P191" s="81"/>
    </row>
    <row r="192" spans="1:16" x14ac:dyDescent="0.25">
      <c r="A192" s="187">
        <v>191</v>
      </c>
      <c r="B192" s="94"/>
      <c r="C192" s="393" t="s">
        <v>1537</v>
      </c>
      <c r="D192" s="81" t="s">
        <v>465</v>
      </c>
      <c r="E192" s="132">
        <v>45774</v>
      </c>
      <c r="F192" s="146">
        <v>6017391853</v>
      </c>
      <c r="G192" s="132" t="s">
        <v>1652</v>
      </c>
      <c r="H192" s="98">
        <v>45922</v>
      </c>
      <c r="I192" s="99">
        <v>262</v>
      </c>
      <c r="J192" s="100">
        <v>26.2</v>
      </c>
      <c r="K192" s="100">
        <f t="shared" si="30"/>
        <v>288.2</v>
      </c>
      <c r="L192" s="99">
        <v>231.596</v>
      </c>
      <c r="M192" s="100">
        <f t="shared" si="35"/>
        <v>23.159600000000001</v>
      </c>
      <c r="N192" s="100">
        <f t="shared" si="36"/>
        <v>254.75560000000002</v>
      </c>
      <c r="O192" s="101" t="str">
        <f t="shared" si="26"/>
        <v>Completed</v>
      </c>
      <c r="P192" s="81"/>
    </row>
    <row r="193" spans="1:16" x14ac:dyDescent="0.25">
      <c r="A193" s="187">
        <v>192</v>
      </c>
      <c r="B193" s="94"/>
      <c r="C193" s="393" t="s">
        <v>1538</v>
      </c>
      <c r="D193" s="81" t="s">
        <v>467</v>
      </c>
      <c r="E193" s="132">
        <v>45781</v>
      </c>
      <c r="F193" s="420">
        <v>6017386051</v>
      </c>
      <c r="G193" s="132" t="s">
        <v>1642</v>
      </c>
      <c r="H193" s="98">
        <v>45841</v>
      </c>
      <c r="I193" s="99">
        <v>18400</v>
      </c>
      <c r="J193" s="100">
        <v>1840</v>
      </c>
      <c r="K193" s="100">
        <f t="shared" si="30"/>
        <v>20240</v>
      </c>
      <c r="L193" s="99">
        <v>16753.599999999999</v>
      </c>
      <c r="M193" s="100">
        <f t="shared" si="35"/>
        <v>1675.36</v>
      </c>
      <c r="N193" s="100">
        <f t="shared" si="36"/>
        <v>18428.96</v>
      </c>
      <c r="O193" s="101" t="str">
        <f t="shared" si="26"/>
        <v>Completed</v>
      </c>
      <c r="P193" s="81"/>
    </row>
    <row r="194" spans="1:16" x14ac:dyDescent="0.25">
      <c r="A194" s="187">
        <v>193</v>
      </c>
      <c r="B194" s="94"/>
      <c r="C194" s="393" t="s">
        <v>1539</v>
      </c>
      <c r="D194" s="81" t="s">
        <v>470</v>
      </c>
      <c r="E194" s="132">
        <v>45769</v>
      </c>
      <c r="F194" s="146">
        <v>6017384447</v>
      </c>
      <c r="G194" s="132" t="s">
        <v>1706</v>
      </c>
      <c r="H194" s="98">
        <v>45824</v>
      </c>
      <c r="I194" s="99">
        <v>5968</v>
      </c>
      <c r="J194" s="100">
        <v>596.79999999999995</v>
      </c>
      <c r="K194" s="100">
        <f t="shared" si="30"/>
        <v>6564.8</v>
      </c>
      <c r="L194" s="99">
        <v>3651.8919999999998</v>
      </c>
      <c r="M194" s="100">
        <f t="shared" si="35"/>
        <v>365.18920000000003</v>
      </c>
      <c r="N194" s="100">
        <f t="shared" si="36"/>
        <v>4017.0811999999996</v>
      </c>
      <c r="O194" s="101" t="str">
        <f t="shared" si="26"/>
        <v>Completed</v>
      </c>
      <c r="P194" s="81"/>
    </row>
    <row r="195" spans="1:16" x14ac:dyDescent="0.25">
      <c r="A195" s="187">
        <v>194</v>
      </c>
      <c r="B195" s="94"/>
      <c r="C195" s="393" t="s">
        <v>1540</v>
      </c>
      <c r="D195" s="81" t="s">
        <v>477</v>
      </c>
      <c r="E195" s="132">
        <v>45769</v>
      </c>
      <c r="F195" s="146">
        <v>6017384450</v>
      </c>
      <c r="G195" s="132" t="s">
        <v>1674</v>
      </c>
      <c r="H195" s="98">
        <v>45825</v>
      </c>
      <c r="I195" s="99">
        <v>151</v>
      </c>
      <c r="J195" s="100">
        <v>15.1</v>
      </c>
      <c r="K195" s="100">
        <f t="shared" si="30"/>
        <v>166.1</v>
      </c>
      <c r="L195" s="99">
        <v>133.172</v>
      </c>
      <c r="M195" s="100">
        <f t="shared" si="35"/>
        <v>13.3172</v>
      </c>
      <c r="N195" s="100">
        <f t="shared" si="36"/>
        <v>146.48919999999998</v>
      </c>
      <c r="O195" s="101" t="str">
        <f t="shared" si="26"/>
        <v>Completed</v>
      </c>
      <c r="P195" s="81"/>
    </row>
    <row r="196" spans="1:16" x14ac:dyDescent="0.25">
      <c r="A196" s="187">
        <v>195</v>
      </c>
      <c r="B196" s="94"/>
      <c r="C196" s="393" t="s">
        <v>1541</v>
      </c>
      <c r="D196" s="81" t="s">
        <v>248</v>
      </c>
      <c r="E196" s="132">
        <v>45795</v>
      </c>
      <c r="F196" s="146">
        <v>6017386055</v>
      </c>
      <c r="G196" s="132" t="s">
        <v>1646</v>
      </c>
      <c r="H196" s="98">
        <v>45847</v>
      </c>
      <c r="I196" s="99">
        <v>560</v>
      </c>
      <c r="J196" s="100">
        <v>56</v>
      </c>
      <c r="K196" s="100">
        <f t="shared" si="30"/>
        <v>616</v>
      </c>
      <c r="L196" s="99">
        <v>509.63600000000002</v>
      </c>
      <c r="M196" s="100">
        <f t="shared" si="35"/>
        <v>50.963600000000007</v>
      </c>
      <c r="N196" s="100">
        <f t="shared" si="36"/>
        <v>560.59960000000001</v>
      </c>
      <c r="O196" s="101" t="str">
        <f t="shared" si="26"/>
        <v>Completed</v>
      </c>
      <c r="P196" s="81"/>
    </row>
    <row r="197" spans="1:16" x14ac:dyDescent="0.25">
      <c r="A197" s="187">
        <v>196</v>
      </c>
      <c r="B197" s="94"/>
      <c r="C197" s="393" t="s">
        <v>1542</v>
      </c>
      <c r="D197" s="81" t="s">
        <v>248</v>
      </c>
      <c r="E197" s="132">
        <v>45796</v>
      </c>
      <c r="F197" s="146">
        <v>6017393793</v>
      </c>
      <c r="G197" s="132" t="s">
        <v>1675</v>
      </c>
      <c r="H197" s="98">
        <v>45947</v>
      </c>
      <c r="I197" s="99">
        <v>767</v>
      </c>
      <c r="J197" s="100">
        <v>76.7</v>
      </c>
      <c r="K197" s="100">
        <f t="shared" si="30"/>
        <v>843.7</v>
      </c>
      <c r="L197" s="99">
        <v>697.70299999999997</v>
      </c>
      <c r="M197" s="100">
        <f t="shared" si="35"/>
        <v>69.770300000000006</v>
      </c>
      <c r="N197" s="100">
        <f t="shared" si="36"/>
        <v>767.47329999999999</v>
      </c>
      <c r="O197" s="101" t="str">
        <f t="shared" si="26"/>
        <v>Completed</v>
      </c>
      <c r="P197" s="81"/>
    </row>
    <row r="198" spans="1:16" x14ac:dyDescent="0.25">
      <c r="A198" s="187">
        <v>197</v>
      </c>
      <c r="B198" s="94"/>
      <c r="C198" s="393" t="s">
        <v>1543</v>
      </c>
      <c r="D198" s="81" t="s">
        <v>494</v>
      </c>
      <c r="E198" s="132">
        <v>45774</v>
      </c>
      <c r="F198" s="146">
        <v>6017384445</v>
      </c>
      <c r="G198" s="132" t="s">
        <v>1676</v>
      </c>
      <c r="H198" s="98">
        <v>45825</v>
      </c>
      <c r="I198" s="99">
        <v>838</v>
      </c>
      <c r="J198" s="100">
        <v>83.8</v>
      </c>
      <c r="K198" s="100">
        <f t="shared" si="30"/>
        <v>921.8</v>
      </c>
      <c r="L198" s="99">
        <v>729.93600000000004</v>
      </c>
      <c r="M198" s="100">
        <f t="shared" si="35"/>
        <v>72.993600000000001</v>
      </c>
      <c r="N198" s="100">
        <f t="shared" si="36"/>
        <v>802.92960000000005</v>
      </c>
      <c r="O198" s="101" t="str">
        <f t="shared" si="26"/>
        <v>Completed</v>
      </c>
      <c r="P198" s="81"/>
    </row>
    <row r="199" spans="1:16" x14ac:dyDescent="0.25">
      <c r="A199" s="187">
        <v>198</v>
      </c>
      <c r="B199" s="94"/>
      <c r="C199" s="393" t="s">
        <v>1544</v>
      </c>
      <c r="D199" s="81" t="s">
        <v>499</v>
      </c>
      <c r="E199" s="132">
        <v>45750</v>
      </c>
      <c r="F199" s="420">
        <v>6017384448</v>
      </c>
      <c r="G199" s="183" t="s">
        <v>993</v>
      </c>
      <c r="H199" s="98"/>
      <c r="I199" s="99"/>
      <c r="J199" s="100"/>
      <c r="K199" s="100" t="str">
        <f t="shared" si="30"/>
        <v/>
      </c>
      <c r="L199" s="99"/>
      <c r="M199" s="100">
        <f t="shared" si="35"/>
        <v>0</v>
      </c>
      <c r="N199" s="100">
        <f t="shared" si="36"/>
        <v>0</v>
      </c>
      <c r="O199" s="101" t="str">
        <f t="shared" si="26"/>
        <v>WIP</v>
      </c>
      <c r="P199" s="81"/>
    </row>
    <row r="200" spans="1:16" x14ac:dyDescent="0.25">
      <c r="A200" s="187">
        <v>199</v>
      </c>
      <c r="B200" s="94"/>
      <c r="C200" s="393" t="s">
        <v>1545</v>
      </c>
      <c r="D200" s="81" t="s">
        <v>216</v>
      </c>
      <c r="E200" s="132">
        <v>45842</v>
      </c>
      <c r="F200" s="146">
        <v>6017393795</v>
      </c>
      <c r="G200" s="132" t="s">
        <v>1677</v>
      </c>
      <c r="H200" s="98">
        <v>45945</v>
      </c>
      <c r="I200" s="99">
        <v>2795</v>
      </c>
      <c r="J200" s="100">
        <v>279.5</v>
      </c>
      <c r="K200" s="100">
        <f t="shared" si="30"/>
        <v>3074.5</v>
      </c>
      <c r="L200" s="99">
        <v>2235.9140000000002</v>
      </c>
      <c r="M200" s="100">
        <f t="shared" si="35"/>
        <v>223.59140000000002</v>
      </c>
      <c r="N200" s="100">
        <f t="shared" si="36"/>
        <v>2459.5054</v>
      </c>
      <c r="O200" s="101" t="str">
        <f t="shared" si="26"/>
        <v>Completed</v>
      </c>
      <c r="P200" s="81"/>
    </row>
    <row r="201" spans="1:16" x14ac:dyDescent="0.25">
      <c r="A201" s="187">
        <v>200</v>
      </c>
      <c r="B201" s="94"/>
      <c r="C201" s="393" t="s">
        <v>1546</v>
      </c>
      <c r="D201" s="81" t="s">
        <v>140</v>
      </c>
      <c r="E201" s="132">
        <v>45958</v>
      </c>
      <c r="F201" s="146">
        <v>6017397732</v>
      </c>
      <c r="G201" s="183" t="s">
        <v>993</v>
      </c>
      <c r="H201" s="98"/>
      <c r="I201" s="99"/>
      <c r="J201" s="100"/>
      <c r="K201" s="100" t="str">
        <f t="shared" si="30"/>
        <v/>
      </c>
      <c r="O201" s="101" t="str">
        <f t="shared" si="26"/>
        <v>WIP</v>
      </c>
      <c r="P201" s="81"/>
    </row>
    <row r="202" spans="1:16" x14ac:dyDescent="0.25">
      <c r="A202" s="187">
        <v>201</v>
      </c>
      <c r="B202" s="94"/>
      <c r="C202" s="393" t="s">
        <v>1547</v>
      </c>
      <c r="D202" s="81" t="s">
        <v>248</v>
      </c>
      <c r="G202" s="132"/>
      <c r="H202" s="98"/>
      <c r="I202" s="99"/>
      <c r="J202" s="100"/>
      <c r="K202" s="100"/>
      <c r="L202" s="99"/>
      <c r="M202" s="100"/>
      <c r="N202" s="100"/>
      <c r="O202" s="101" t="s">
        <v>1707</v>
      </c>
      <c r="P202" s="81"/>
    </row>
    <row r="203" spans="1:16" x14ac:dyDescent="0.25">
      <c r="A203" s="187">
        <v>202</v>
      </c>
      <c r="B203" s="94"/>
      <c r="C203" s="393" t="s">
        <v>1548</v>
      </c>
      <c r="D203" s="81" t="s">
        <v>248</v>
      </c>
      <c r="E203" s="132">
        <v>45801</v>
      </c>
      <c r="F203" s="421">
        <v>6017387890</v>
      </c>
      <c r="G203" s="132" t="s">
        <v>1647</v>
      </c>
      <c r="H203" s="98">
        <v>45871</v>
      </c>
      <c r="I203" s="99">
        <v>3591</v>
      </c>
      <c r="J203" s="100">
        <v>359.1</v>
      </c>
      <c r="K203" s="100">
        <v>3950.1</v>
      </c>
      <c r="L203" s="99">
        <v>3285.9090000000001</v>
      </c>
      <c r="M203" s="100">
        <v>328.59090000000003</v>
      </c>
      <c r="N203" s="100">
        <v>3614.4999000000003</v>
      </c>
      <c r="O203" s="101" t="str">
        <f>IF(G203="","Pending Update",IF(G203="Yet to Invoice","WIP","Completed"))</f>
        <v>Completed</v>
      </c>
      <c r="P203" s="81"/>
    </row>
    <row r="204" spans="1:16" x14ac:dyDescent="0.25">
      <c r="A204" s="187">
        <v>203</v>
      </c>
      <c r="B204" s="94"/>
      <c r="C204" s="393" t="s">
        <v>1549</v>
      </c>
      <c r="D204" s="81" t="s">
        <v>511</v>
      </c>
      <c r="E204" s="132"/>
      <c r="F204" s="146"/>
      <c r="G204" s="132"/>
      <c r="H204" s="98"/>
      <c r="I204" s="99"/>
      <c r="J204" s="100"/>
      <c r="K204" s="100" t="str">
        <f t="shared" ref="K204:K235" si="37">IFERROR(IF(I204=0,"",(I204*0.1)+I204),"")</f>
        <v/>
      </c>
      <c r="L204" s="99"/>
      <c r="M204" s="100">
        <f>L204*10%</f>
        <v>0</v>
      </c>
      <c r="N204" s="100">
        <f t="shared" ref="N204:N219" si="38">L204+M204</f>
        <v>0</v>
      </c>
      <c r="O204" s="101" t="s">
        <v>1713</v>
      </c>
      <c r="P204" s="81"/>
    </row>
    <row r="205" spans="1:16" x14ac:dyDescent="0.25">
      <c r="A205" s="187">
        <v>204</v>
      </c>
      <c r="B205" s="94"/>
      <c r="C205" s="393" t="s">
        <v>1550</v>
      </c>
      <c r="D205" s="81" t="s">
        <v>514</v>
      </c>
      <c r="E205" s="132">
        <v>45789</v>
      </c>
      <c r="F205" s="146">
        <v>6017384452</v>
      </c>
      <c r="G205" s="132" t="s">
        <v>1678</v>
      </c>
      <c r="H205" s="98">
        <v>45826</v>
      </c>
      <c r="I205" s="99">
        <v>370</v>
      </c>
      <c r="J205" s="100">
        <v>37</v>
      </c>
      <c r="K205" s="100">
        <f t="shared" si="37"/>
        <v>407</v>
      </c>
      <c r="L205" s="99">
        <v>289.34100000000001</v>
      </c>
      <c r="M205" s="100">
        <f t="shared" ref="M205:M206" si="39">L205*10%</f>
        <v>28.934100000000001</v>
      </c>
      <c r="N205" s="100">
        <f t="shared" si="38"/>
        <v>318.27510000000001</v>
      </c>
      <c r="O205" s="101" t="str">
        <f t="shared" si="26"/>
        <v>Completed</v>
      </c>
      <c r="P205" s="81"/>
    </row>
    <row r="206" spans="1:16" x14ac:dyDescent="0.25">
      <c r="A206" s="187">
        <v>205</v>
      </c>
      <c r="B206" s="94"/>
      <c r="C206" s="394" t="s">
        <v>1551</v>
      </c>
      <c r="D206" s="81" t="s">
        <v>516</v>
      </c>
      <c r="E206" s="132">
        <v>45833</v>
      </c>
      <c r="F206" s="146" t="s">
        <v>1714</v>
      </c>
      <c r="G206" s="132" t="s">
        <v>1708</v>
      </c>
      <c r="H206" s="98">
        <v>45953</v>
      </c>
      <c r="I206" s="99">
        <v>4251</v>
      </c>
      <c r="J206" s="100">
        <v>425.1</v>
      </c>
      <c r="K206" s="100">
        <f t="shared" si="37"/>
        <v>4676.1000000000004</v>
      </c>
      <c r="L206" s="99">
        <v>3242.9810000000002</v>
      </c>
      <c r="M206" s="100">
        <f t="shared" si="39"/>
        <v>324.29810000000003</v>
      </c>
      <c r="N206" s="100">
        <f t="shared" si="38"/>
        <v>3567.2791000000002</v>
      </c>
      <c r="O206" s="101" t="str">
        <f t="shared" si="26"/>
        <v>Completed</v>
      </c>
      <c r="P206" s="81"/>
    </row>
    <row r="207" spans="1:16" x14ac:dyDescent="0.25">
      <c r="A207" s="187">
        <v>206</v>
      </c>
      <c r="B207" s="94"/>
      <c r="C207" s="394" t="s">
        <v>1552</v>
      </c>
      <c r="D207" s="81" t="s">
        <v>523</v>
      </c>
      <c r="E207" s="132">
        <v>45794</v>
      </c>
      <c r="F207" s="146">
        <v>6017387890</v>
      </c>
      <c r="G207" s="132" t="s">
        <v>1679</v>
      </c>
      <c r="H207" s="98">
        <v>45871</v>
      </c>
      <c r="I207" s="99">
        <v>1419</v>
      </c>
      <c r="J207" s="100">
        <v>141.9</v>
      </c>
      <c r="K207" s="100">
        <f t="shared" si="37"/>
        <v>1560.9</v>
      </c>
      <c r="L207" s="99">
        <v>1048.8499999999999</v>
      </c>
      <c r="M207" s="100">
        <f t="shared" ref="M207:M215" si="40">L207*10%</f>
        <v>104.88499999999999</v>
      </c>
      <c r="N207" s="100">
        <f t="shared" si="38"/>
        <v>1153.7349999999999</v>
      </c>
      <c r="O207" s="101" t="str">
        <f t="shared" si="26"/>
        <v>Completed</v>
      </c>
      <c r="P207" s="81"/>
    </row>
    <row r="208" spans="1:16" x14ac:dyDescent="0.25">
      <c r="A208" s="187">
        <v>207</v>
      </c>
      <c r="B208" s="94"/>
      <c r="C208" s="394" t="s">
        <v>1553</v>
      </c>
      <c r="D208" s="81" t="s">
        <v>525</v>
      </c>
      <c r="E208" s="132">
        <v>45803</v>
      </c>
      <c r="F208" s="146">
        <v>6017386054</v>
      </c>
      <c r="G208" s="132" t="s">
        <v>1643</v>
      </c>
      <c r="H208" s="98">
        <v>45841</v>
      </c>
      <c r="I208" s="99">
        <v>1092</v>
      </c>
      <c r="J208" s="100">
        <v>109.2</v>
      </c>
      <c r="K208" s="100">
        <f t="shared" si="37"/>
        <v>1201.2</v>
      </c>
      <c r="L208" s="99">
        <v>880.85199999999998</v>
      </c>
      <c r="M208" s="100">
        <f t="shared" si="40"/>
        <v>88.0852</v>
      </c>
      <c r="N208" s="100">
        <f t="shared" si="38"/>
        <v>968.93719999999996</v>
      </c>
      <c r="O208" s="101" t="str">
        <f t="shared" si="26"/>
        <v>Completed</v>
      </c>
      <c r="P208" s="81"/>
    </row>
    <row r="209" spans="1:16" x14ac:dyDescent="0.25">
      <c r="A209" s="187">
        <v>208</v>
      </c>
      <c r="B209" s="94"/>
      <c r="C209" s="394" t="s">
        <v>1554</v>
      </c>
      <c r="D209" s="81" t="s">
        <v>528</v>
      </c>
      <c r="E209" s="132">
        <v>45796</v>
      </c>
      <c r="F209" s="146">
        <v>6017387892</v>
      </c>
      <c r="G209" s="132" t="s">
        <v>1680</v>
      </c>
      <c r="H209" s="98">
        <v>45871</v>
      </c>
      <c r="I209" s="99">
        <v>111</v>
      </c>
      <c r="J209" s="100">
        <v>11.1</v>
      </c>
      <c r="K209" s="100">
        <f t="shared" si="37"/>
        <v>122.1</v>
      </c>
      <c r="L209" s="99">
        <v>82.292000000000002</v>
      </c>
      <c r="M209" s="100">
        <f t="shared" si="40"/>
        <v>8.2292000000000005</v>
      </c>
      <c r="N209" s="100">
        <f t="shared" si="38"/>
        <v>90.521200000000007</v>
      </c>
      <c r="O209" s="101" t="str">
        <f t="shared" si="26"/>
        <v>Completed</v>
      </c>
      <c r="P209" s="81"/>
    </row>
    <row r="210" spans="1:16" x14ac:dyDescent="0.25">
      <c r="A210" s="187">
        <v>209</v>
      </c>
      <c r="B210" s="94"/>
      <c r="C210" s="394" t="s">
        <v>1555</v>
      </c>
      <c r="D210" s="81" t="s">
        <v>104</v>
      </c>
      <c r="E210" s="132">
        <v>45804</v>
      </c>
      <c r="F210" s="146">
        <v>6017386052</v>
      </c>
      <c r="G210" s="132" t="s">
        <v>1645</v>
      </c>
      <c r="H210" s="98">
        <v>45847</v>
      </c>
      <c r="I210" s="99">
        <v>531.29999999999995</v>
      </c>
      <c r="J210" s="100">
        <v>53.13</v>
      </c>
      <c r="K210" s="100">
        <f t="shared" si="37"/>
        <v>584.42999999999995</v>
      </c>
      <c r="L210" s="99">
        <v>442.76799999999997</v>
      </c>
      <c r="M210" s="100">
        <f t="shared" si="40"/>
        <v>44.276800000000001</v>
      </c>
      <c r="N210" s="100">
        <f t="shared" si="38"/>
        <v>487.04479999999995</v>
      </c>
      <c r="O210" s="101" t="str">
        <f t="shared" si="26"/>
        <v>Completed</v>
      </c>
      <c r="P210" s="81"/>
    </row>
    <row r="211" spans="1:16" x14ac:dyDescent="0.25">
      <c r="A211" s="187">
        <v>210</v>
      </c>
      <c r="B211" s="94"/>
      <c r="C211" s="394" t="s">
        <v>1556</v>
      </c>
      <c r="D211" s="81" t="s">
        <v>201</v>
      </c>
      <c r="E211" s="132">
        <v>45804</v>
      </c>
      <c r="F211" s="146">
        <v>6017386056</v>
      </c>
      <c r="G211" s="132" t="s">
        <v>1644</v>
      </c>
      <c r="H211" s="98">
        <v>45841</v>
      </c>
      <c r="I211" s="99">
        <v>418</v>
      </c>
      <c r="J211" s="100">
        <v>41.8</v>
      </c>
      <c r="K211" s="100">
        <f t="shared" si="37"/>
        <v>459.8</v>
      </c>
      <c r="L211" s="99">
        <v>348.30099999999999</v>
      </c>
      <c r="M211" s="100">
        <f t="shared" si="40"/>
        <v>34.830100000000002</v>
      </c>
      <c r="N211" s="100">
        <f t="shared" si="38"/>
        <v>383.1311</v>
      </c>
      <c r="O211" s="101" t="str">
        <f t="shared" si="26"/>
        <v>Completed</v>
      </c>
      <c r="P211" s="81"/>
    </row>
    <row r="212" spans="1:16" x14ac:dyDescent="0.25">
      <c r="A212" s="187">
        <v>211</v>
      </c>
      <c r="B212" s="94"/>
      <c r="C212" s="394" t="s">
        <v>552</v>
      </c>
      <c r="D212" s="81" t="s">
        <v>104</v>
      </c>
      <c r="E212" s="132">
        <v>45804</v>
      </c>
      <c r="F212" s="146">
        <v>6017386053</v>
      </c>
      <c r="G212" s="132" t="s">
        <v>1681</v>
      </c>
      <c r="H212" s="98">
        <v>45847</v>
      </c>
      <c r="I212" s="99">
        <v>724</v>
      </c>
      <c r="J212" s="100">
        <v>72.400000000000006</v>
      </c>
      <c r="K212" s="100">
        <f t="shared" si="37"/>
        <v>796.4</v>
      </c>
      <c r="L212" s="99">
        <v>556.29899999999998</v>
      </c>
      <c r="M212" s="100">
        <f t="shared" si="40"/>
        <v>55.629899999999999</v>
      </c>
      <c r="N212" s="100">
        <f t="shared" si="38"/>
        <v>611.9289</v>
      </c>
      <c r="O212" s="101" t="str">
        <f t="shared" si="26"/>
        <v>Completed</v>
      </c>
      <c r="P212" s="81"/>
    </row>
    <row r="213" spans="1:16" x14ac:dyDescent="0.25">
      <c r="A213" s="187">
        <v>212</v>
      </c>
      <c r="B213" s="94"/>
      <c r="C213" s="394" t="s">
        <v>573</v>
      </c>
      <c r="D213" s="81" t="s">
        <v>104</v>
      </c>
      <c r="E213" s="132">
        <v>45820</v>
      </c>
      <c r="F213" s="146">
        <v>6017387893</v>
      </c>
      <c r="G213" s="132" t="s">
        <v>1682</v>
      </c>
      <c r="H213" s="98">
        <v>45871</v>
      </c>
      <c r="I213" s="99">
        <v>375</v>
      </c>
      <c r="J213" s="100">
        <v>37.5</v>
      </c>
      <c r="K213" s="100">
        <f t="shared" si="37"/>
        <v>412.5</v>
      </c>
      <c r="L213" s="99">
        <v>283.88200000000001</v>
      </c>
      <c r="M213" s="100">
        <f t="shared" si="40"/>
        <v>28.388200000000001</v>
      </c>
      <c r="N213" s="100">
        <f t="shared" si="38"/>
        <v>312.27019999999999</v>
      </c>
      <c r="O213" s="101" t="str">
        <f t="shared" si="26"/>
        <v>Completed</v>
      </c>
      <c r="P213" s="81"/>
    </row>
    <row r="214" spans="1:16" x14ac:dyDescent="0.25">
      <c r="A214" s="187">
        <v>213</v>
      </c>
      <c r="B214" s="94"/>
      <c r="C214" s="394" t="s">
        <v>574</v>
      </c>
      <c r="D214" s="81" t="s">
        <v>203</v>
      </c>
      <c r="E214" s="132">
        <v>45831</v>
      </c>
      <c r="F214" s="146">
        <v>6017397728</v>
      </c>
      <c r="G214" s="132" t="s">
        <v>1683</v>
      </c>
      <c r="H214" s="98">
        <v>46000</v>
      </c>
      <c r="I214" s="99">
        <v>1840</v>
      </c>
      <c r="J214" s="100">
        <v>184</v>
      </c>
      <c r="K214" s="100">
        <f t="shared" si="37"/>
        <v>2024</v>
      </c>
      <c r="L214" s="99">
        <v>1500.2059999999999</v>
      </c>
      <c r="M214" s="100">
        <f t="shared" si="40"/>
        <v>150.0206</v>
      </c>
      <c r="N214" s="100">
        <f t="shared" si="38"/>
        <v>1650.2266</v>
      </c>
      <c r="O214" s="101" t="str">
        <f t="shared" si="26"/>
        <v>Completed</v>
      </c>
      <c r="P214" s="81"/>
    </row>
    <row r="215" spans="1:16" x14ac:dyDescent="0.25">
      <c r="A215" s="187">
        <v>214</v>
      </c>
      <c r="B215" s="94"/>
      <c r="C215" s="394" t="s">
        <v>581</v>
      </c>
      <c r="D215" s="81" t="s">
        <v>582</v>
      </c>
      <c r="E215" s="132">
        <v>45866</v>
      </c>
      <c r="F215" s="146">
        <v>6017391851</v>
      </c>
      <c r="G215" s="183" t="s">
        <v>1715</v>
      </c>
      <c r="H215" s="98">
        <v>45921</v>
      </c>
      <c r="I215" s="99">
        <v>618</v>
      </c>
      <c r="J215" s="100">
        <f>I215*10%</f>
        <v>61.800000000000004</v>
      </c>
      <c r="K215" s="100">
        <f t="shared" si="37"/>
        <v>679.8</v>
      </c>
      <c r="L215" s="99">
        <v>513.66200000000003</v>
      </c>
      <c r="M215" s="100">
        <f t="shared" si="40"/>
        <v>51.366200000000006</v>
      </c>
      <c r="N215" s="100">
        <f t="shared" si="38"/>
        <v>565.02820000000008</v>
      </c>
      <c r="O215" s="101" t="str">
        <f t="shared" ref="O215:O261" si="41">IF(G215="","Pending Update",IF(G215="Yet to Invoice","WIP","Completed"))</f>
        <v>Completed</v>
      </c>
      <c r="P215" s="81"/>
    </row>
    <row r="216" spans="1:16" x14ac:dyDescent="0.25">
      <c r="A216" s="187">
        <v>215</v>
      </c>
      <c r="B216" s="94"/>
      <c r="C216" s="394" t="s">
        <v>594</v>
      </c>
      <c r="D216" s="81" t="s">
        <v>595</v>
      </c>
      <c r="E216" s="132">
        <v>45827</v>
      </c>
      <c r="F216" s="146">
        <v>6017388618</v>
      </c>
      <c r="G216" s="132" t="s">
        <v>1684</v>
      </c>
      <c r="H216" s="98">
        <v>45877</v>
      </c>
      <c r="I216" s="99">
        <v>900</v>
      </c>
      <c r="J216" s="100">
        <v>90</v>
      </c>
      <c r="K216" s="100">
        <f t="shared" si="37"/>
        <v>990</v>
      </c>
      <c r="L216" s="99">
        <v>760.41600000000005</v>
      </c>
      <c r="M216" s="100">
        <f>L216*10%</f>
        <v>76.041600000000003</v>
      </c>
      <c r="N216" s="100">
        <f t="shared" si="38"/>
        <v>836.45760000000007</v>
      </c>
      <c r="O216" s="101" t="str">
        <f t="shared" si="41"/>
        <v>Completed</v>
      </c>
      <c r="P216" s="81"/>
    </row>
    <row r="217" spans="1:16" x14ac:dyDescent="0.25">
      <c r="A217" s="187">
        <v>216</v>
      </c>
      <c r="B217" s="94"/>
      <c r="C217" s="394" t="s">
        <v>597</v>
      </c>
      <c r="D217" s="81" t="s">
        <v>598</v>
      </c>
      <c r="E217" s="132">
        <v>45829</v>
      </c>
      <c r="F217" s="146">
        <v>6017388617</v>
      </c>
      <c r="G217" s="132" t="s">
        <v>1685</v>
      </c>
      <c r="H217" s="98">
        <v>45877</v>
      </c>
      <c r="I217" s="99">
        <v>530</v>
      </c>
      <c r="J217" s="100">
        <v>53</v>
      </c>
      <c r="K217" s="100">
        <f t="shared" si="37"/>
        <v>583</v>
      </c>
      <c r="L217" s="99">
        <v>250.90700000000001</v>
      </c>
      <c r="M217" s="100">
        <f>L217*10%</f>
        <v>25.090700000000002</v>
      </c>
      <c r="N217" s="100">
        <f t="shared" si="38"/>
        <v>275.99770000000001</v>
      </c>
      <c r="O217" s="101" t="str">
        <f t="shared" si="41"/>
        <v>Completed</v>
      </c>
      <c r="P217" s="81"/>
    </row>
    <row r="218" spans="1:16" x14ac:dyDescent="0.25">
      <c r="A218" s="187">
        <v>217</v>
      </c>
      <c r="B218" s="94"/>
      <c r="C218" s="394" t="s">
        <v>604</v>
      </c>
      <c r="D218" s="81" t="s">
        <v>1717</v>
      </c>
      <c r="E218" s="132">
        <v>45832</v>
      </c>
      <c r="F218" s="146">
        <v>6017388616</v>
      </c>
      <c r="G218" s="183" t="s">
        <v>993</v>
      </c>
      <c r="H218" s="98"/>
      <c r="I218" s="99">
        <v>1260</v>
      </c>
      <c r="J218" s="100">
        <f>I218*10%</f>
        <v>126</v>
      </c>
      <c r="K218" s="100">
        <f t="shared" si="37"/>
        <v>1386</v>
      </c>
      <c r="L218" s="99">
        <v>1047.3710000000001</v>
      </c>
      <c r="M218" s="100">
        <f>L218*10%</f>
        <v>104.73710000000001</v>
      </c>
      <c r="N218" s="100">
        <f t="shared" si="38"/>
        <v>1152.1081000000001</v>
      </c>
      <c r="O218" s="101" t="str">
        <f t="shared" si="41"/>
        <v>WIP</v>
      </c>
      <c r="P218" s="81"/>
    </row>
    <row r="219" spans="1:16" x14ac:dyDescent="0.25">
      <c r="A219" s="187">
        <v>218</v>
      </c>
      <c r="B219" s="94"/>
      <c r="C219" s="394" t="s">
        <v>604</v>
      </c>
      <c r="D219" s="81" t="s">
        <v>607</v>
      </c>
      <c r="E219" s="132">
        <v>45832</v>
      </c>
      <c r="F219" s="146">
        <v>6017388616</v>
      </c>
      <c r="G219" s="183" t="s">
        <v>993</v>
      </c>
      <c r="H219" s="98"/>
      <c r="I219" s="99">
        <v>856</v>
      </c>
      <c r="J219" s="100">
        <f>I219*10%</f>
        <v>85.600000000000009</v>
      </c>
      <c r="K219" s="100">
        <f t="shared" si="37"/>
        <v>941.6</v>
      </c>
      <c r="L219" s="99">
        <v>728.59799999999996</v>
      </c>
      <c r="M219" s="100">
        <f>L219*10%</f>
        <v>72.859799999999993</v>
      </c>
      <c r="N219" s="100">
        <f t="shared" si="38"/>
        <v>801.45779999999991</v>
      </c>
      <c r="O219" s="101" t="str">
        <f t="shared" si="41"/>
        <v>WIP</v>
      </c>
      <c r="P219" s="81"/>
    </row>
    <row r="220" spans="1:16" x14ac:dyDescent="0.25">
      <c r="A220" s="357">
        <v>219</v>
      </c>
      <c r="B220" s="105"/>
      <c r="C220" s="419" t="s">
        <v>615</v>
      </c>
      <c r="D220" s="83" t="s">
        <v>616</v>
      </c>
      <c r="E220" s="195"/>
      <c r="F220" s="206"/>
      <c r="G220" s="195" t="s">
        <v>1649</v>
      </c>
      <c r="H220" s="108">
        <v>45909</v>
      </c>
      <c r="I220" s="109">
        <v>390</v>
      </c>
      <c r="J220" s="110">
        <v>39</v>
      </c>
      <c r="K220" s="110">
        <f t="shared" si="37"/>
        <v>429</v>
      </c>
      <c r="L220" s="109"/>
      <c r="M220" s="110"/>
      <c r="N220" s="110"/>
      <c r="O220" s="111" t="str">
        <f t="shared" si="41"/>
        <v>Completed</v>
      </c>
      <c r="P220" s="81" t="s">
        <v>1716</v>
      </c>
    </row>
    <row r="221" spans="1:16" x14ac:dyDescent="0.25">
      <c r="A221" s="187">
        <v>220</v>
      </c>
      <c r="B221" s="94"/>
      <c r="C221" s="394" t="s">
        <v>624</v>
      </c>
      <c r="D221" s="81" t="s">
        <v>625</v>
      </c>
      <c r="E221" s="132">
        <v>45853</v>
      </c>
      <c r="F221" s="146">
        <v>6017395583</v>
      </c>
      <c r="G221" s="132" t="s">
        <v>1686</v>
      </c>
      <c r="H221" s="98">
        <v>45970</v>
      </c>
      <c r="I221" s="99">
        <v>908</v>
      </c>
      <c r="J221" s="100">
        <v>90.8</v>
      </c>
      <c r="K221" s="100">
        <f t="shared" si="37"/>
        <v>998.8</v>
      </c>
      <c r="L221" s="99">
        <v>757.08699999999999</v>
      </c>
      <c r="M221" s="100">
        <f>L221*10%</f>
        <v>75.708700000000007</v>
      </c>
      <c r="N221" s="100">
        <f>L221+M221</f>
        <v>832.79570000000001</v>
      </c>
      <c r="O221" s="101" t="str">
        <f t="shared" si="41"/>
        <v>Completed</v>
      </c>
      <c r="P221" s="81"/>
    </row>
    <row r="222" spans="1:16" x14ac:dyDescent="0.25">
      <c r="A222" s="187">
        <v>221</v>
      </c>
      <c r="B222" s="94"/>
      <c r="C222" s="394" t="s">
        <v>1557</v>
      </c>
      <c r="D222" s="81" t="s">
        <v>632</v>
      </c>
      <c r="E222" s="132">
        <v>45874</v>
      </c>
      <c r="F222" s="146">
        <v>6017399059</v>
      </c>
      <c r="G222" s="132" t="s">
        <v>1656</v>
      </c>
      <c r="H222" s="98">
        <v>46021</v>
      </c>
      <c r="I222" s="99">
        <v>180</v>
      </c>
      <c r="J222" s="100">
        <v>18</v>
      </c>
      <c r="K222" s="100">
        <f t="shared" si="37"/>
        <v>198</v>
      </c>
      <c r="L222" s="99">
        <v>132.40899999999999</v>
      </c>
      <c r="M222" s="100">
        <f>L222*10%</f>
        <v>13.2409</v>
      </c>
      <c r="N222" s="100">
        <f>L222+M222</f>
        <v>145.6499</v>
      </c>
      <c r="O222" s="101" t="str">
        <f t="shared" si="41"/>
        <v>Completed</v>
      </c>
      <c r="P222" s="81"/>
    </row>
    <row r="223" spans="1:16" s="417" customFormat="1" x14ac:dyDescent="0.25">
      <c r="A223" s="409">
        <v>222</v>
      </c>
      <c r="B223" s="410"/>
      <c r="C223" s="392" t="s">
        <v>1558</v>
      </c>
      <c r="D223" s="23" t="s">
        <v>634</v>
      </c>
      <c r="E223" s="411">
        <v>45841</v>
      </c>
      <c r="F223" s="412">
        <v>6017390610</v>
      </c>
      <c r="G223" s="411" t="s">
        <v>1687</v>
      </c>
      <c r="H223" s="413">
        <v>45900</v>
      </c>
      <c r="I223" s="414">
        <v>744</v>
      </c>
      <c r="J223" s="415">
        <v>74.400000000000006</v>
      </c>
      <c r="K223" s="415">
        <f t="shared" si="37"/>
        <v>818.4</v>
      </c>
      <c r="L223" s="414">
        <v>620.65700000000004</v>
      </c>
      <c r="M223" s="100">
        <f>L223*10%</f>
        <v>62.065700000000007</v>
      </c>
      <c r="N223" s="100">
        <f>L223+M223</f>
        <v>682.72270000000003</v>
      </c>
      <c r="O223" s="416" t="str">
        <f t="shared" si="41"/>
        <v>Completed</v>
      </c>
      <c r="P223" s="23"/>
    </row>
    <row r="224" spans="1:16" x14ac:dyDescent="0.25">
      <c r="A224" s="85">
        <v>223</v>
      </c>
      <c r="B224" s="94"/>
      <c r="C224" s="392" t="s">
        <v>1559</v>
      </c>
      <c r="D224" s="81" t="s">
        <v>638</v>
      </c>
      <c r="E224" s="411">
        <v>45841</v>
      </c>
      <c r="F224" s="412">
        <v>6017390608</v>
      </c>
      <c r="G224" s="132" t="s">
        <v>1688</v>
      </c>
      <c r="H224" s="98">
        <v>45900</v>
      </c>
      <c r="I224" s="99">
        <v>2092</v>
      </c>
      <c r="J224" s="100">
        <v>209.2</v>
      </c>
      <c r="K224" s="100">
        <f t="shared" si="37"/>
        <v>2301.1999999999998</v>
      </c>
      <c r="L224" s="99">
        <v>1744.48</v>
      </c>
      <c r="M224" s="100">
        <f t="shared" ref="M224:M232" si="42">L224*10%</f>
        <v>174.44800000000001</v>
      </c>
      <c r="N224" s="100">
        <f t="shared" ref="N224:N232" si="43">L224+M224</f>
        <v>1918.9280000000001</v>
      </c>
      <c r="O224" s="101" t="str">
        <f t="shared" si="41"/>
        <v>Completed</v>
      </c>
      <c r="P224" s="81"/>
    </row>
    <row r="225" spans="1:16" x14ac:dyDescent="0.25">
      <c r="A225" s="85">
        <v>224</v>
      </c>
      <c r="B225" s="94"/>
      <c r="C225" s="392" t="s">
        <v>1560</v>
      </c>
      <c r="D225" s="81" t="s">
        <v>642</v>
      </c>
      <c r="E225" s="132"/>
      <c r="F225" s="146"/>
      <c r="G225" s="183" t="s">
        <v>993</v>
      </c>
      <c r="H225" s="98"/>
      <c r="I225" s="99"/>
      <c r="J225" s="100"/>
      <c r="K225" s="100" t="str">
        <f t="shared" si="37"/>
        <v/>
      </c>
      <c r="L225" s="99"/>
      <c r="M225" s="100">
        <f t="shared" si="42"/>
        <v>0</v>
      </c>
      <c r="N225" s="100">
        <f t="shared" si="43"/>
        <v>0</v>
      </c>
      <c r="O225" s="101" t="str">
        <f t="shared" si="41"/>
        <v>WIP</v>
      </c>
      <c r="P225" s="81"/>
    </row>
    <row r="226" spans="1:16" x14ac:dyDescent="0.25">
      <c r="A226" s="85">
        <v>225</v>
      </c>
      <c r="B226" s="94"/>
      <c r="C226" s="392" t="s">
        <v>1561</v>
      </c>
      <c r="D226" s="81" t="s">
        <v>671</v>
      </c>
      <c r="E226" s="411">
        <v>45841</v>
      </c>
      <c r="F226" s="146">
        <v>6017390609</v>
      </c>
      <c r="G226" s="132" t="s">
        <v>1650</v>
      </c>
      <c r="H226" s="98">
        <v>45911</v>
      </c>
      <c r="I226" s="99">
        <v>260</v>
      </c>
      <c r="J226" s="100">
        <v>26</v>
      </c>
      <c r="K226" s="100">
        <f t="shared" si="37"/>
        <v>286</v>
      </c>
      <c r="L226" s="99">
        <v>216.655</v>
      </c>
      <c r="M226" s="100">
        <f t="shared" si="42"/>
        <v>21.665500000000002</v>
      </c>
      <c r="N226" s="100">
        <f t="shared" si="43"/>
        <v>238.32050000000001</v>
      </c>
      <c r="O226" s="101" t="str">
        <f t="shared" si="41"/>
        <v>Completed</v>
      </c>
      <c r="P226" s="81"/>
    </row>
    <row r="227" spans="1:16" x14ac:dyDescent="0.25">
      <c r="A227" s="85">
        <v>226</v>
      </c>
      <c r="B227" s="94"/>
      <c r="C227" s="392" t="s">
        <v>1562</v>
      </c>
      <c r="D227" s="81" t="s">
        <v>674</v>
      </c>
      <c r="E227" s="411">
        <v>45875</v>
      </c>
      <c r="F227" s="146">
        <v>6017393799</v>
      </c>
      <c r="G227" s="132" t="s">
        <v>1689</v>
      </c>
      <c r="H227" s="98">
        <v>45947</v>
      </c>
      <c r="I227" s="99">
        <v>840</v>
      </c>
      <c r="J227" s="100">
        <v>84</v>
      </c>
      <c r="K227" s="100">
        <f t="shared" si="37"/>
        <v>924</v>
      </c>
      <c r="L227" s="99">
        <v>766.63699999999994</v>
      </c>
      <c r="M227" s="100">
        <f t="shared" si="42"/>
        <v>76.663699999999992</v>
      </c>
      <c r="N227" s="100">
        <f t="shared" si="43"/>
        <v>843.30069999999989</v>
      </c>
      <c r="O227" s="101" t="str">
        <f t="shared" si="41"/>
        <v>Completed</v>
      </c>
      <c r="P227" s="81"/>
    </row>
    <row r="228" spans="1:16" x14ac:dyDescent="0.25">
      <c r="A228" s="85">
        <v>6017393797</v>
      </c>
      <c r="B228" s="94"/>
      <c r="C228" s="392" t="s">
        <v>1563</v>
      </c>
      <c r="D228" s="81" t="s">
        <v>678</v>
      </c>
      <c r="E228" s="411">
        <v>45872</v>
      </c>
      <c r="F228" s="146">
        <v>6017393797</v>
      </c>
      <c r="G228" s="132" t="s">
        <v>1690</v>
      </c>
      <c r="H228" s="98">
        <v>45949</v>
      </c>
      <c r="I228" s="99">
        <v>234</v>
      </c>
      <c r="J228" s="100">
        <v>23.4</v>
      </c>
      <c r="K228" s="100">
        <f t="shared" si="37"/>
        <v>257.39999999999998</v>
      </c>
      <c r="L228" s="99">
        <v>193.59100000000001</v>
      </c>
      <c r="M228" s="100">
        <f t="shared" si="42"/>
        <v>19.359100000000002</v>
      </c>
      <c r="N228" s="100">
        <f t="shared" si="43"/>
        <v>212.95010000000002</v>
      </c>
      <c r="O228" s="101" t="str">
        <f t="shared" si="41"/>
        <v>Completed</v>
      </c>
      <c r="P228" s="81"/>
    </row>
    <row r="229" spans="1:16" x14ac:dyDescent="0.25">
      <c r="A229" s="85">
        <v>228</v>
      </c>
      <c r="B229" s="94"/>
      <c r="C229" s="392" t="s">
        <v>1564</v>
      </c>
      <c r="D229" s="81" t="s">
        <v>684</v>
      </c>
      <c r="E229" s="411">
        <v>45892</v>
      </c>
      <c r="F229" s="146">
        <v>6017393800</v>
      </c>
      <c r="G229" s="132" t="s">
        <v>1691</v>
      </c>
      <c r="H229" s="98">
        <v>45953</v>
      </c>
      <c r="I229" s="99">
        <v>720</v>
      </c>
      <c r="J229" s="100">
        <v>72</v>
      </c>
      <c r="K229" s="100">
        <f t="shared" si="37"/>
        <v>792</v>
      </c>
      <c r="L229" s="99">
        <v>663.63</v>
      </c>
      <c r="M229" s="100">
        <f t="shared" si="42"/>
        <v>66.363</v>
      </c>
      <c r="N229" s="100">
        <f t="shared" si="43"/>
        <v>729.99299999999994</v>
      </c>
      <c r="O229" s="101" t="str">
        <f t="shared" si="41"/>
        <v>Completed</v>
      </c>
      <c r="P229" s="81"/>
    </row>
    <row r="230" spans="1:16" x14ac:dyDescent="0.25">
      <c r="A230" s="85">
        <v>229</v>
      </c>
      <c r="B230" s="94"/>
      <c r="C230" s="392" t="s">
        <v>1565</v>
      </c>
      <c r="D230" s="81" t="s">
        <v>686</v>
      </c>
      <c r="E230" s="411">
        <v>45873</v>
      </c>
      <c r="F230" s="146">
        <v>6017393798</v>
      </c>
      <c r="G230" s="132" t="s">
        <v>1692</v>
      </c>
      <c r="H230" s="98">
        <v>45946</v>
      </c>
      <c r="I230" s="99">
        <v>531.29999999999995</v>
      </c>
      <c r="J230" s="100">
        <v>53.13</v>
      </c>
      <c r="K230" s="100">
        <f t="shared" si="37"/>
        <v>584.42999999999995</v>
      </c>
      <c r="L230" s="99">
        <v>442.76799999999997</v>
      </c>
      <c r="M230" s="100">
        <f t="shared" si="42"/>
        <v>44.276800000000001</v>
      </c>
      <c r="N230" s="100">
        <f t="shared" si="43"/>
        <v>487.04479999999995</v>
      </c>
      <c r="O230" s="101" t="str">
        <f t="shared" si="41"/>
        <v>Completed</v>
      </c>
      <c r="P230" s="81"/>
    </row>
    <row r="231" spans="1:16" x14ac:dyDescent="0.25">
      <c r="A231" s="85">
        <v>230</v>
      </c>
      <c r="B231" s="94"/>
      <c r="C231" s="392" t="s">
        <v>1566</v>
      </c>
      <c r="D231" s="81" t="s">
        <v>692</v>
      </c>
      <c r="E231" s="411">
        <v>45873</v>
      </c>
      <c r="F231" s="146">
        <v>6017391854</v>
      </c>
      <c r="G231" s="132" t="s">
        <v>1651</v>
      </c>
      <c r="H231" s="98">
        <v>45922</v>
      </c>
      <c r="I231" s="99">
        <v>409</v>
      </c>
      <c r="J231" s="100">
        <v>40.9</v>
      </c>
      <c r="K231" s="100">
        <f t="shared" si="37"/>
        <v>449.9</v>
      </c>
      <c r="L231" s="99">
        <v>314.40499999999997</v>
      </c>
      <c r="M231" s="100">
        <f t="shared" si="42"/>
        <v>31.4405</v>
      </c>
      <c r="N231" s="100">
        <f t="shared" si="43"/>
        <v>345.84549999999996</v>
      </c>
      <c r="O231" s="101" t="str">
        <f t="shared" si="41"/>
        <v>Completed</v>
      </c>
      <c r="P231" s="81"/>
    </row>
    <row r="232" spans="1:16" x14ac:dyDescent="0.25">
      <c r="A232" s="85">
        <v>231</v>
      </c>
      <c r="B232" s="94"/>
      <c r="C232" s="392" t="s">
        <v>707</v>
      </c>
      <c r="D232" s="81" t="s">
        <v>708</v>
      </c>
      <c r="E232" s="411">
        <v>45874</v>
      </c>
      <c r="F232" s="146">
        <v>6017391852</v>
      </c>
      <c r="G232" s="132" t="s">
        <v>1653</v>
      </c>
      <c r="H232" s="98">
        <v>45922</v>
      </c>
      <c r="I232" s="99">
        <v>666</v>
      </c>
      <c r="J232" s="100">
        <v>66.599999999999994</v>
      </c>
      <c r="K232" s="100">
        <f t="shared" si="37"/>
        <v>732.6</v>
      </c>
      <c r="L232" s="99">
        <v>531.66</v>
      </c>
      <c r="M232" s="100">
        <f t="shared" si="42"/>
        <v>53.165999999999997</v>
      </c>
      <c r="N232" s="100">
        <f t="shared" si="43"/>
        <v>584.82600000000002</v>
      </c>
      <c r="O232" s="101" t="str">
        <f t="shared" si="41"/>
        <v>Completed</v>
      </c>
      <c r="P232" s="81"/>
    </row>
    <row r="233" spans="1:16" x14ac:dyDescent="0.25">
      <c r="A233" s="85">
        <v>232</v>
      </c>
      <c r="B233" s="94"/>
      <c r="C233" s="392" t="s">
        <v>713</v>
      </c>
      <c r="D233" s="81" t="s">
        <v>714</v>
      </c>
      <c r="E233" s="418">
        <v>45900</v>
      </c>
      <c r="F233" s="146">
        <v>6017395579</v>
      </c>
      <c r="G233" s="132" t="s">
        <v>1693</v>
      </c>
      <c r="H233" s="98">
        <v>45970</v>
      </c>
      <c r="I233" s="99">
        <v>2560</v>
      </c>
      <c r="J233" s="100">
        <v>256</v>
      </c>
      <c r="K233" s="100">
        <f t="shared" si="37"/>
        <v>2816</v>
      </c>
      <c r="L233" s="99">
        <v>2226.35</v>
      </c>
      <c r="M233" s="100">
        <f>L233*10%</f>
        <v>222.63499999999999</v>
      </c>
      <c r="N233" s="100">
        <f>L233+M233</f>
        <v>2448.9849999999997</v>
      </c>
      <c r="O233" s="101" t="str">
        <f t="shared" si="41"/>
        <v>Completed</v>
      </c>
      <c r="P233" s="81"/>
    </row>
    <row r="234" spans="1:16" x14ac:dyDescent="0.25">
      <c r="A234" s="85">
        <v>233</v>
      </c>
      <c r="B234" s="94"/>
      <c r="C234" s="392" t="s">
        <v>716</v>
      </c>
      <c r="D234" s="81" t="s">
        <v>717</v>
      </c>
      <c r="E234" s="132"/>
      <c r="F234" s="146"/>
      <c r="G234" s="183" t="s">
        <v>993</v>
      </c>
      <c r="H234" s="98"/>
      <c r="I234" s="99"/>
      <c r="J234" s="100"/>
      <c r="K234" s="100" t="str">
        <f t="shared" si="37"/>
        <v/>
      </c>
      <c r="L234" s="99"/>
      <c r="M234" s="100"/>
      <c r="N234" s="100"/>
      <c r="O234" s="101" t="str">
        <f t="shared" si="41"/>
        <v>WIP</v>
      </c>
      <c r="P234" s="81"/>
    </row>
    <row r="235" spans="1:16" x14ac:dyDescent="0.25">
      <c r="A235" s="85">
        <v>234</v>
      </c>
      <c r="B235" s="94"/>
      <c r="C235" s="392" t="s">
        <v>724</v>
      </c>
      <c r="D235" s="81" t="s">
        <v>725</v>
      </c>
      <c r="E235" s="418">
        <v>45879</v>
      </c>
      <c r="F235" s="146">
        <v>6017395585</v>
      </c>
      <c r="G235" s="132" t="s">
        <v>1694</v>
      </c>
      <c r="H235" s="98">
        <v>45991</v>
      </c>
      <c r="I235" s="99">
        <v>600</v>
      </c>
      <c r="J235" s="100">
        <v>60</v>
      </c>
      <c r="K235" s="100">
        <f t="shared" si="37"/>
        <v>660</v>
      </c>
      <c r="L235" s="99">
        <v>495.40499999999997</v>
      </c>
      <c r="M235" s="100">
        <f>L235*10%</f>
        <v>49.540500000000002</v>
      </c>
      <c r="N235" s="100">
        <f>L235+M235</f>
        <v>544.94549999999992</v>
      </c>
      <c r="O235" s="101" t="str">
        <f t="shared" si="41"/>
        <v>Completed</v>
      </c>
      <c r="P235" s="81"/>
    </row>
    <row r="236" spans="1:16" x14ac:dyDescent="0.25">
      <c r="A236" s="85">
        <v>235</v>
      </c>
      <c r="B236" s="94"/>
      <c r="C236" s="393" t="s">
        <v>729</v>
      </c>
      <c r="D236" s="81" t="s">
        <v>730</v>
      </c>
      <c r="E236" s="132">
        <v>45882</v>
      </c>
      <c r="F236" s="146">
        <v>6017393796</v>
      </c>
      <c r="G236" s="132" t="s">
        <v>1654</v>
      </c>
      <c r="H236" s="98">
        <v>45953</v>
      </c>
      <c r="I236" s="99">
        <v>928</v>
      </c>
      <c r="J236" s="100">
        <v>92.8</v>
      </c>
      <c r="K236" s="100">
        <f t="shared" ref="K236:K261" si="44">IFERROR(IF(I236=0,"",(I236*0.1)+I236),"")</f>
        <v>1020.8</v>
      </c>
      <c r="L236" s="99">
        <v>811.67</v>
      </c>
      <c r="M236" s="100">
        <f>L236*10%</f>
        <v>81.167000000000002</v>
      </c>
      <c r="N236" s="100">
        <f>L236+M236</f>
        <v>892.83699999999999</v>
      </c>
      <c r="O236" s="101" t="str">
        <f t="shared" si="41"/>
        <v>Completed</v>
      </c>
      <c r="P236" s="81"/>
    </row>
    <row r="237" spans="1:16" x14ac:dyDescent="0.25">
      <c r="A237" s="85">
        <v>236</v>
      </c>
      <c r="B237" s="94"/>
      <c r="C237" s="393" t="s">
        <v>732</v>
      </c>
      <c r="D237" s="81" t="s">
        <v>733</v>
      </c>
      <c r="E237" s="132">
        <v>45912</v>
      </c>
      <c r="F237" s="146">
        <v>6017391855</v>
      </c>
      <c r="G237" s="132" t="s">
        <v>1695</v>
      </c>
      <c r="H237" s="98">
        <v>45922</v>
      </c>
      <c r="I237" s="99">
        <v>208</v>
      </c>
      <c r="J237" s="100">
        <v>20.8</v>
      </c>
      <c r="K237" s="100">
        <f t="shared" si="44"/>
        <v>228.8</v>
      </c>
      <c r="L237" s="99">
        <v>181.423</v>
      </c>
      <c r="M237" s="100">
        <f>L237*10%</f>
        <v>18.142300000000002</v>
      </c>
      <c r="N237" s="100">
        <f>L237+M237</f>
        <v>199.56530000000001</v>
      </c>
      <c r="O237" s="101" t="str">
        <f t="shared" si="41"/>
        <v>Completed</v>
      </c>
      <c r="P237" s="81"/>
    </row>
    <row r="238" spans="1:16" x14ac:dyDescent="0.25">
      <c r="A238" s="187">
        <v>237</v>
      </c>
      <c r="B238" s="94"/>
      <c r="C238" s="393" t="s">
        <v>748</v>
      </c>
      <c r="D238" s="81" t="s">
        <v>749</v>
      </c>
      <c r="E238" s="132">
        <v>45918</v>
      </c>
      <c r="F238" s="146">
        <v>6017395581</v>
      </c>
      <c r="G238" s="132" t="s">
        <v>1655</v>
      </c>
      <c r="H238" s="98">
        <v>45994</v>
      </c>
      <c r="I238" s="99">
        <v>296</v>
      </c>
      <c r="J238" s="100">
        <v>29.6</v>
      </c>
      <c r="K238" s="100">
        <f t="shared" si="44"/>
        <v>325.60000000000002</v>
      </c>
      <c r="L238" s="99">
        <v>157.02799999999999</v>
      </c>
      <c r="M238" s="100">
        <f>L238*10%</f>
        <v>15.7028</v>
      </c>
      <c r="N238" s="100">
        <f>L238+M238</f>
        <v>172.73079999999999</v>
      </c>
      <c r="O238" s="101" t="str">
        <f t="shared" si="41"/>
        <v>Completed</v>
      </c>
      <c r="P238" s="81"/>
    </row>
    <row r="239" spans="1:16" x14ac:dyDescent="0.25">
      <c r="A239" s="187">
        <v>238</v>
      </c>
      <c r="B239" s="94"/>
      <c r="C239" s="393" t="s">
        <v>760</v>
      </c>
      <c r="D239" s="81" t="s">
        <v>761</v>
      </c>
      <c r="E239" s="132">
        <v>45889</v>
      </c>
      <c r="F239" s="146"/>
      <c r="G239" s="183" t="s">
        <v>993</v>
      </c>
      <c r="H239" s="98"/>
      <c r="I239" s="99"/>
      <c r="J239" s="100"/>
      <c r="K239" s="100" t="str">
        <f t="shared" si="44"/>
        <v/>
      </c>
      <c r="L239" s="99"/>
      <c r="M239" s="100"/>
      <c r="N239" s="100"/>
      <c r="O239" s="101" t="str">
        <f t="shared" si="41"/>
        <v>WIP</v>
      </c>
      <c r="P239" s="81"/>
    </row>
    <row r="240" spans="1:16" s="238" customFormat="1" x14ac:dyDescent="0.25">
      <c r="A240" s="187">
        <v>239</v>
      </c>
      <c r="B240" s="114"/>
      <c r="C240" s="393" t="s">
        <v>1239</v>
      </c>
      <c r="D240" s="213" t="s">
        <v>1313</v>
      </c>
      <c r="E240" s="149"/>
      <c r="F240" s="397"/>
      <c r="G240" s="149" t="s">
        <v>1709</v>
      </c>
      <c r="H240" s="398">
        <v>46000</v>
      </c>
      <c r="I240" s="130">
        <v>5981</v>
      </c>
      <c r="J240" s="399">
        <v>538.1</v>
      </c>
      <c r="K240" s="399">
        <f t="shared" si="44"/>
        <v>6579.1</v>
      </c>
      <c r="L240" s="130">
        <v>4727.93</v>
      </c>
      <c r="M240" s="399">
        <f>L240*10%</f>
        <v>472.79300000000006</v>
      </c>
      <c r="N240" s="399">
        <f>L240+M240</f>
        <v>5200.723</v>
      </c>
      <c r="O240" s="400" t="str">
        <f t="shared" si="41"/>
        <v>Completed</v>
      </c>
      <c r="P240" s="213"/>
    </row>
    <row r="241" spans="1:16" x14ac:dyDescent="0.25">
      <c r="A241" s="187">
        <v>240</v>
      </c>
      <c r="B241" s="94"/>
      <c r="C241" s="393" t="s">
        <v>1241</v>
      </c>
      <c r="D241" s="81" t="s">
        <v>1328</v>
      </c>
      <c r="E241" s="132">
        <v>45909</v>
      </c>
      <c r="F241" s="146">
        <v>6017395580</v>
      </c>
      <c r="G241" s="132" t="s">
        <v>1696</v>
      </c>
      <c r="H241" s="98">
        <v>45971</v>
      </c>
      <c r="I241" s="99">
        <v>2280</v>
      </c>
      <c r="J241" s="100">
        <v>228</v>
      </c>
      <c r="K241" s="100">
        <f t="shared" si="44"/>
        <v>2508</v>
      </c>
      <c r="L241" s="99">
        <v>2076.069</v>
      </c>
      <c r="M241" s="100">
        <f t="shared" ref="M241:M249" si="45">L241*10%</f>
        <v>207.6069</v>
      </c>
      <c r="N241" s="100">
        <f t="shared" ref="N241:N249" si="46">L241+M241</f>
        <v>2283.6759000000002</v>
      </c>
      <c r="O241" s="101" t="str">
        <f t="shared" si="41"/>
        <v>Completed</v>
      </c>
      <c r="P241" s="81"/>
    </row>
    <row r="242" spans="1:16" x14ac:dyDescent="0.25">
      <c r="A242" s="187">
        <v>241</v>
      </c>
      <c r="B242" s="94"/>
      <c r="C242" s="393" t="s">
        <v>1246</v>
      </c>
      <c r="D242" s="81" t="s">
        <v>1267</v>
      </c>
      <c r="E242" s="132">
        <v>45911</v>
      </c>
      <c r="F242" s="146">
        <v>6017395582</v>
      </c>
      <c r="G242" s="132" t="s">
        <v>1697</v>
      </c>
      <c r="H242" s="98">
        <v>45970</v>
      </c>
      <c r="I242" s="99">
        <v>556</v>
      </c>
      <c r="J242" s="100">
        <v>55.6</v>
      </c>
      <c r="K242" s="100">
        <f t="shared" si="44"/>
        <v>611.6</v>
      </c>
      <c r="L242" s="99">
        <v>462.77100000000002</v>
      </c>
      <c r="M242" s="100">
        <f t="shared" si="45"/>
        <v>46.277100000000004</v>
      </c>
      <c r="N242" s="100">
        <f t="shared" si="46"/>
        <v>509.04810000000003</v>
      </c>
      <c r="O242" s="101" t="str">
        <f t="shared" si="41"/>
        <v>Completed</v>
      </c>
      <c r="P242" s="81"/>
    </row>
    <row r="243" spans="1:16" x14ac:dyDescent="0.25">
      <c r="A243" s="187">
        <v>242</v>
      </c>
      <c r="B243" s="94"/>
      <c r="C243" s="393" t="s">
        <v>1278</v>
      </c>
      <c r="D243" s="81" t="s">
        <v>1303</v>
      </c>
      <c r="E243" s="132">
        <v>45922</v>
      </c>
      <c r="F243" s="146">
        <v>6017395584</v>
      </c>
      <c r="G243" s="132" t="s">
        <v>1698</v>
      </c>
      <c r="H243" s="98">
        <v>45970</v>
      </c>
      <c r="I243" s="99">
        <v>180</v>
      </c>
      <c r="J243" s="100">
        <v>18</v>
      </c>
      <c r="K243" s="100">
        <f t="shared" si="44"/>
        <v>198</v>
      </c>
      <c r="L243" s="99">
        <v>150.078</v>
      </c>
      <c r="M243" s="100">
        <f t="shared" si="45"/>
        <v>15.007800000000001</v>
      </c>
      <c r="N243" s="100">
        <f t="shared" si="46"/>
        <v>165.08580000000001</v>
      </c>
      <c r="O243" s="101" t="str">
        <f t="shared" si="41"/>
        <v>Completed</v>
      </c>
      <c r="P243" s="81"/>
    </row>
    <row r="244" spans="1:16" x14ac:dyDescent="0.25">
      <c r="A244" s="187">
        <v>243</v>
      </c>
      <c r="B244" s="94"/>
      <c r="C244" s="393" t="s">
        <v>1284</v>
      </c>
      <c r="D244" s="81" t="s">
        <v>1285</v>
      </c>
      <c r="E244" s="132">
        <v>45956</v>
      </c>
      <c r="F244" s="146"/>
      <c r="G244" s="183" t="s">
        <v>993</v>
      </c>
      <c r="H244" s="98"/>
      <c r="I244" s="99"/>
      <c r="J244" s="100"/>
      <c r="K244" s="100" t="str">
        <f t="shared" si="44"/>
        <v/>
      </c>
      <c r="L244" s="99">
        <v>719.24599999999998</v>
      </c>
      <c r="M244" s="100">
        <f t="shared" si="45"/>
        <v>71.924599999999998</v>
      </c>
      <c r="N244" s="100">
        <f t="shared" si="46"/>
        <v>791.17059999999992</v>
      </c>
      <c r="O244" s="101" t="str">
        <f t="shared" si="41"/>
        <v>WIP</v>
      </c>
      <c r="P244" s="81"/>
    </row>
    <row r="245" spans="1:16" x14ac:dyDescent="0.25">
      <c r="A245" s="187">
        <v>244</v>
      </c>
      <c r="B245" s="94"/>
      <c r="C245" s="393" t="s">
        <v>1293</v>
      </c>
      <c r="D245" s="81" t="s">
        <v>1298</v>
      </c>
      <c r="E245" s="132">
        <v>45934</v>
      </c>
      <c r="F245" s="146">
        <v>6017397729</v>
      </c>
      <c r="G245" s="132" t="s">
        <v>1699</v>
      </c>
      <c r="H245" s="98">
        <v>46001</v>
      </c>
      <c r="I245" s="99">
        <v>883</v>
      </c>
      <c r="J245" s="100">
        <v>88.3</v>
      </c>
      <c r="K245" s="100">
        <f t="shared" si="44"/>
        <v>971.3</v>
      </c>
      <c r="L245" s="99">
        <v>788.58199999999999</v>
      </c>
      <c r="M245" s="100">
        <f t="shared" si="45"/>
        <v>78.858200000000011</v>
      </c>
      <c r="N245" s="100">
        <f t="shared" si="46"/>
        <v>867.4402</v>
      </c>
      <c r="O245" s="101" t="str">
        <f t="shared" si="41"/>
        <v>Completed</v>
      </c>
      <c r="P245" s="81"/>
    </row>
    <row r="246" spans="1:16" x14ac:dyDescent="0.25">
      <c r="A246" s="187">
        <v>245</v>
      </c>
      <c r="B246" s="94"/>
      <c r="C246" s="393" t="s">
        <v>1300</v>
      </c>
      <c r="D246" s="81" t="s">
        <v>1376</v>
      </c>
      <c r="E246" s="132"/>
      <c r="F246" s="146"/>
      <c r="G246" s="183" t="s">
        <v>993</v>
      </c>
      <c r="H246" s="98"/>
      <c r="I246" s="99"/>
      <c r="J246" s="100"/>
      <c r="K246" s="100" t="str">
        <f t="shared" si="44"/>
        <v/>
      </c>
      <c r="L246" s="99">
        <v>1374.9929999999999</v>
      </c>
      <c r="M246" s="100">
        <f t="shared" si="45"/>
        <v>137.49930000000001</v>
      </c>
      <c r="N246" s="100">
        <f t="shared" si="46"/>
        <v>1512.4922999999999</v>
      </c>
      <c r="O246" s="101" t="str">
        <f t="shared" si="41"/>
        <v>WIP</v>
      </c>
      <c r="P246" s="81"/>
    </row>
    <row r="247" spans="1:16" x14ac:dyDescent="0.25">
      <c r="A247" s="187">
        <v>246</v>
      </c>
      <c r="B247" s="94"/>
      <c r="C247" s="393" t="s">
        <v>1336</v>
      </c>
      <c r="D247" s="81" t="s">
        <v>1378</v>
      </c>
      <c r="E247" s="132"/>
      <c r="F247" s="146"/>
      <c r="G247" s="183" t="s">
        <v>993</v>
      </c>
      <c r="H247" s="98"/>
      <c r="I247" s="99"/>
      <c r="J247" s="100"/>
      <c r="K247" s="100" t="str">
        <f t="shared" si="44"/>
        <v/>
      </c>
      <c r="L247" s="99">
        <v>1292.3009999999999</v>
      </c>
      <c r="M247" s="100">
        <f t="shared" si="45"/>
        <v>129.23009999999999</v>
      </c>
      <c r="N247" s="100">
        <f t="shared" si="46"/>
        <v>1421.5310999999999</v>
      </c>
      <c r="O247" s="101" t="str">
        <f t="shared" si="41"/>
        <v>WIP</v>
      </c>
      <c r="P247" s="81"/>
    </row>
    <row r="248" spans="1:16" x14ac:dyDescent="0.25">
      <c r="A248" s="187">
        <v>247</v>
      </c>
      <c r="B248" s="94"/>
      <c r="C248" s="393" t="s">
        <v>1338</v>
      </c>
      <c r="D248" s="81" t="s">
        <v>1381</v>
      </c>
      <c r="E248" s="132"/>
      <c r="F248" s="146"/>
      <c r="G248" s="183" t="s">
        <v>993</v>
      </c>
      <c r="H248" s="98"/>
      <c r="I248" s="99">
        <v>2762</v>
      </c>
      <c r="J248" s="100">
        <f>I248*10%</f>
        <v>276.2</v>
      </c>
      <c r="K248" s="100">
        <f t="shared" si="44"/>
        <v>3038.2</v>
      </c>
      <c r="L248" s="99">
        <v>1395</v>
      </c>
      <c r="M248" s="100">
        <f t="shared" si="45"/>
        <v>139.5</v>
      </c>
      <c r="N248" s="100">
        <f t="shared" si="46"/>
        <v>1534.5</v>
      </c>
      <c r="O248" s="101" t="str">
        <f t="shared" si="41"/>
        <v>WIP</v>
      </c>
      <c r="P248" s="81"/>
    </row>
    <row r="249" spans="1:16" x14ac:dyDescent="0.25">
      <c r="A249" s="187">
        <v>248</v>
      </c>
      <c r="B249" s="94"/>
      <c r="C249" s="394" t="s">
        <v>1525</v>
      </c>
      <c r="D249" s="81" t="s">
        <v>1382</v>
      </c>
      <c r="E249" s="132">
        <v>45942</v>
      </c>
      <c r="F249" s="146">
        <v>6017397731</v>
      </c>
      <c r="G249" s="132" t="s">
        <v>1712</v>
      </c>
      <c r="H249" s="98">
        <v>46000</v>
      </c>
      <c r="I249" s="99">
        <v>5262</v>
      </c>
      <c r="J249" s="100">
        <f>I249*10%</f>
        <v>526.20000000000005</v>
      </c>
      <c r="K249" s="100">
        <f t="shared" si="44"/>
        <v>5788.2</v>
      </c>
      <c r="L249" s="99">
        <v>3508.1239999999998</v>
      </c>
      <c r="M249" s="100">
        <f t="shared" si="45"/>
        <v>350.81240000000003</v>
      </c>
      <c r="N249" s="100">
        <f t="shared" si="46"/>
        <v>3858.9363999999996</v>
      </c>
      <c r="O249" s="101" t="str">
        <f t="shared" si="41"/>
        <v>Completed</v>
      </c>
      <c r="P249" s="81"/>
    </row>
    <row r="250" spans="1:16" x14ac:dyDescent="0.25">
      <c r="A250" s="187">
        <v>249</v>
      </c>
      <c r="B250" s="94"/>
      <c r="C250" s="394" t="s">
        <v>1526</v>
      </c>
      <c r="D250" s="81" t="s">
        <v>1382</v>
      </c>
      <c r="E250" s="132">
        <v>45942</v>
      </c>
      <c r="F250" s="146">
        <v>6017399063</v>
      </c>
      <c r="G250" s="132" t="s">
        <v>1711</v>
      </c>
      <c r="H250" s="98">
        <v>46022</v>
      </c>
      <c r="I250" s="99">
        <v>5262</v>
      </c>
      <c r="J250" s="100">
        <f>I250*10%</f>
        <v>526.20000000000005</v>
      </c>
      <c r="K250" s="100">
        <f t="shared" ref="K250" si="47">IFERROR(IF(I250=0,"",(I250*0.1)+I250),"")</f>
        <v>5788.2</v>
      </c>
      <c r="L250" s="99">
        <v>3508.1239999999998</v>
      </c>
      <c r="M250" s="100">
        <f t="shared" ref="M250:M251" si="48">L250*10%</f>
        <v>350.81240000000003</v>
      </c>
      <c r="N250" s="100">
        <f t="shared" ref="N250:N251" si="49">L250+M250</f>
        <v>3858.9363999999996</v>
      </c>
      <c r="O250" s="101" t="str">
        <f t="shared" si="41"/>
        <v>Completed</v>
      </c>
      <c r="P250" s="81"/>
    </row>
    <row r="251" spans="1:16" x14ac:dyDescent="0.25">
      <c r="A251" s="187">
        <v>250</v>
      </c>
      <c r="B251" s="94"/>
      <c r="C251" s="394" t="s">
        <v>1343</v>
      </c>
      <c r="D251" s="81" t="s">
        <v>1388</v>
      </c>
      <c r="E251" s="132"/>
      <c r="F251" s="146"/>
      <c r="G251" s="183" t="s">
        <v>993</v>
      </c>
      <c r="H251" s="98"/>
      <c r="I251" s="99">
        <v>898.62599999999998</v>
      </c>
      <c r="J251" s="100">
        <f>I251*10%</f>
        <v>89.8626</v>
      </c>
      <c r="K251" s="100">
        <f t="shared" si="44"/>
        <v>988.48860000000002</v>
      </c>
      <c r="L251" s="99">
        <v>816.93299999999999</v>
      </c>
      <c r="M251" s="100">
        <f t="shared" si="48"/>
        <v>81.693300000000008</v>
      </c>
      <c r="N251" s="100">
        <f t="shared" si="49"/>
        <v>898.62630000000001</v>
      </c>
      <c r="O251" s="101" t="str">
        <f t="shared" si="41"/>
        <v>WIP</v>
      </c>
      <c r="P251" s="81"/>
    </row>
    <row r="252" spans="1:16" x14ac:dyDescent="0.25">
      <c r="A252" s="357">
        <v>251</v>
      </c>
      <c r="B252" s="105"/>
      <c r="C252" s="419" t="s">
        <v>1390</v>
      </c>
      <c r="D252" s="83" t="s">
        <v>1409</v>
      </c>
      <c r="E252" s="195"/>
      <c r="F252" s="206"/>
      <c r="G252" s="195" t="s">
        <v>993</v>
      </c>
      <c r="H252" s="108"/>
      <c r="I252" s="109"/>
      <c r="J252" s="110"/>
      <c r="K252" s="110" t="str">
        <f t="shared" si="44"/>
        <v/>
      </c>
      <c r="L252" s="109"/>
      <c r="M252" s="110"/>
      <c r="N252" s="110"/>
      <c r="O252" s="111" t="str">
        <f t="shared" si="41"/>
        <v>WIP</v>
      </c>
      <c r="P252" s="83"/>
    </row>
    <row r="253" spans="1:16" x14ac:dyDescent="0.25">
      <c r="A253" s="187">
        <v>252</v>
      </c>
      <c r="B253" s="94"/>
      <c r="C253" s="394" t="s">
        <v>1391</v>
      </c>
      <c r="D253" s="81" t="s">
        <v>1410</v>
      </c>
      <c r="E253" s="132">
        <v>45971</v>
      </c>
      <c r="F253" s="146">
        <v>6017399062</v>
      </c>
      <c r="G253" s="132" t="s">
        <v>1700</v>
      </c>
      <c r="H253" s="98">
        <v>46022</v>
      </c>
      <c r="I253" s="99">
        <v>680</v>
      </c>
      <c r="J253" s="100">
        <v>68</v>
      </c>
      <c r="K253" s="100">
        <f t="shared" si="44"/>
        <v>748</v>
      </c>
      <c r="L253" s="99">
        <v>521.98800000000006</v>
      </c>
      <c r="M253" s="100">
        <f t="shared" ref="M253:M261" si="50">L253*10%</f>
        <v>52.198800000000006</v>
      </c>
      <c r="N253" s="100">
        <f t="shared" ref="N253:N261" si="51">L253+M253</f>
        <v>574.18680000000006</v>
      </c>
      <c r="O253" s="101" t="str">
        <f t="shared" si="41"/>
        <v>Completed</v>
      </c>
      <c r="P253" s="81"/>
    </row>
    <row r="254" spans="1:16" x14ac:dyDescent="0.25">
      <c r="A254" s="187">
        <v>253</v>
      </c>
      <c r="B254" s="94"/>
      <c r="C254" s="394" t="s">
        <v>1357</v>
      </c>
      <c r="D254" s="81" t="s">
        <v>1361</v>
      </c>
      <c r="E254" s="132">
        <v>45998</v>
      </c>
      <c r="F254" s="146">
        <v>6017399065</v>
      </c>
      <c r="G254" s="132" t="s">
        <v>1657</v>
      </c>
      <c r="H254" s="98">
        <v>46022</v>
      </c>
      <c r="I254" s="99">
        <v>390</v>
      </c>
      <c r="J254" s="100">
        <v>39</v>
      </c>
      <c r="K254" s="100">
        <f t="shared" si="44"/>
        <v>429</v>
      </c>
      <c r="L254" s="99">
        <v>361.63099999999997</v>
      </c>
      <c r="M254" s="100">
        <f t="shared" si="50"/>
        <v>36.1631</v>
      </c>
      <c r="N254" s="100">
        <f t="shared" si="51"/>
        <v>397.79409999999996</v>
      </c>
      <c r="O254" s="101" t="str">
        <f t="shared" si="41"/>
        <v>Completed</v>
      </c>
      <c r="P254" s="81"/>
    </row>
    <row r="255" spans="1:16" x14ac:dyDescent="0.25">
      <c r="A255" s="187">
        <v>254</v>
      </c>
      <c r="B255" s="94"/>
      <c r="C255" s="394" t="s">
        <v>1400</v>
      </c>
      <c r="D255" s="81" t="s">
        <v>1436</v>
      </c>
      <c r="E255" s="132">
        <v>45971</v>
      </c>
      <c r="F255" s="146">
        <v>6017399061</v>
      </c>
      <c r="G255" s="132" t="s">
        <v>1701</v>
      </c>
      <c r="H255" s="98">
        <v>46022</v>
      </c>
      <c r="I255" s="99">
        <v>514.79200000000003</v>
      </c>
      <c r="J255" s="100">
        <v>51.478999999999999</v>
      </c>
      <c r="K255" s="100">
        <f t="shared" si="44"/>
        <v>566.27120000000002</v>
      </c>
      <c r="L255" s="99">
        <v>257.39600000000002</v>
      </c>
      <c r="M255" s="100">
        <f t="shared" si="50"/>
        <v>25.739600000000003</v>
      </c>
      <c r="N255" s="100">
        <f t="shared" si="51"/>
        <v>283.13560000000001</v>
      </c>
      <c r="O255" s="101" t="str">
        <f t="shared" si="41"/>
        <v>Completed</v>
      </c>
      <c r="P255" s="81"/>
    </row>
    <row r="256" spans="1:16" x14ac:dyDescent="0.25">
      <c r="A256" s="187">
        <v>255</v>
      </c>
      <c r="B256" s="94"/>
      <c r="C256" s="394" t="s">
        <v>1404</v>
      </c>
      <c r="D256" s="81" t="s">
        <v>1440</v>
      </c>
      <c r="E256" s="132">
        <v>45973</v>
      </c>
      <c r="F256" s="146"/>
      <c r="G256" s="183" t="s">
        <v>993</v>
      </c>
      <c r="H256" s="98"/>
      <c r="I256" s="99">
        <v>7388</v>
      </c>
      <c r="J256" s="100">
        <f>I256*10%</f>
        <v>738.80000000000007</v>
      </c>
      <c r="K256" s="100">
        <f t="shared" si="44"/>
        <v>8126.8</v>
      </c>
      <c r="L256" s="99">
        <v>6157.7629999999999</v>
      </c>
      <c r="M256" s="100">
        <f t="shared" si="50"/>
        <v>615.77629999999999</v>
      </c>
      <c r="N256" s="100">
        <f t="shared" si="51"/>
        <v>6773.5393000000004</v>
      </c>
      <c r="O256" s="101" t="str">
        <f t="shared" si="41"/>
        <v>WIP</v>
      </c>
      <c r="P256" s="81"/>
    </row>
    <row r="257" spans="1:16" x14ac:dyDescent="0.25">
      <c r="A257" s="187">
        <v>256</v>
      </c>
      <c r="B257" s="94"/>
      <c r="C257" s="394" t="s">
        <v>1405</v>
      </c>
      <c r="D257" s="81" t="s">
        <v>1441</v>
      </c>
      <c r="E257" s="132">
        <v>45995</v>
      </c>
      <c r="F257" s="146"/>
      <c r="G257" s="183" t="s">
        <v>993</v>
      </c>
      <c r="H257" s="98"/>
      <c r="I257" s="99">
        <v>6000</v>
      </c>
      <c r="J257" s="100">
        <f>I257*10%</f>
        <v>600</v>
      </c>
      <c r="K257" s="100">
        <f t="shared" si="44"/>
        <v>6600</v>
      </c>
      <c r="L257" s="99">
        <v>5404.549</v>
      </c>
      <c r="M257" s="100">
        <f t="shared" si="50"/>
        <v>540.45490000000007</v>
      </c>
      <c r="N257" s="100">
        <f t="shared" si="51"/>
        <v>5945.0038999999997</v>
      </c>
      <c r="O257" s="101" t="str">
        <f t="shared" si="41"/>
        <v>WIP</v>
      </c>
      <c r="P257" s="81"/>
    </row>
    <row r="258" spans="1:16" x14ac:dyDescent="0.25">
      <c r="A258" s="187">
        <v>257</v>
      </c>
      <c r="B258" s="94"/>
      <c r="C258" s="394" t="s">
        <v>1407</v>
      </c>
      <c r="D258" s="81" t="s">
        <v>1443</v>
      </c>
      <c r="E258" s="132">
        <v>45985</v>
      </c>
      <c r="F258" s="146"/>
      <c r="G258" s="183" t="s">
        <v>993</v>
      </c>
      <c r="H258" s="98"/>
      <c r="I258" s="99">
        <v>864</v>
      </c>
      <c r="J258" s="100">
        <f>I258*10%</f>
        <v>86.4</v>
      </c>
      <c r="K258" s="100">
        <f t="shared" si="44"/>
        <v>950.4</v>
      </c>
      <c r="L258" s="99">
        <v>732.33100000000002</v>
      </c>
      <c r="M258" s="100">
        <f t="shared" si="50"/>
        <v>73.233100000000007</v>
      </c>
      <c r="N258" s="100">
        <f t="shared" si="51"/>
        <v>805.56410000000005</v>
      </c>
      <c r="O258" s="101" t="str">
        <f t="shared" si="41"/>
        <v>WIP</v>
      </c>
      <c r="P258" s="81"/>
    </row>
    <row r="259" spans="1:16" x14ac:dyDescent="0.25">
      <c r="A259" s="187">
        <v>258</v>
      </c>
      <c r="B259" s="94"/>
      <c r="C259" s="394" t="s">
        <v>1421</v>
      </c>
      <c r="D259" s="81" t="s">
        <v>1447</v>
      </c>
      <c r="E259" s="132">
        <v>45994</v>
      </c>
      <c r="F259" s="146"/>
      <c r="G259" s="183" t="s">
        <v>993</v>
      </c>
      <c r="H259" s="98"/>
      <c r="I259" s="99">
        <v>1668.36</v>
      </c>
      <c r="J259" s="100">
        <f>I259*10%</f>
        <v>166.83600000000001</v>
      </c>
      <c r="K259" s="100">
        <f t="shared" si="44"/>
        <v>1835.1959999999999</v>
      </c>
      <c r="L259" s="99">
        <v>1356.39</v>
      </c>
      <c r="M259" s="100">
        <f t="shared" si="50"/>
        <v>135.63900000000001</v>
      </c>
      <c r="N259" s="100">
        <f t="shared" si="51"/>
        <v>1492.029</v>
      </c>
      <c r="O259" s="101" t="str">
        <f t="shared" si="41"/>
        <v>WIP</v>
      </c>
      <c r="P259" s="81"/>
    </row>
    <row r="260" spans="1:16" x14ac:dyDescent="0.25">
      <c r="A260" s="187">
        <v>259</v>
      </c>
      <c r="B260" s="94"/>
      <c r="C260" s="394" t="s">
        <v>1362</v>
      </c>
      <c r="D260" s="81" t="s">
        <v>1368</v>
      </c>
      <c r="E260" s="132">
        <v>45992</v>
      </c>
      <c r="F260" s="146">
        <v>6017399064</v>
      </c>
      <c r="G260" s="132" t="s">
        <v>1702</v>
      </c>
      <c r="H260" s="98">
        <v>46022</v>
      </c>
      <c r="I260" s="99">
        <v>350</v>
      </c>
      <c r="J260" s="100">
        <v>35</v>
      </c>
      <c r="K260" s="100">
        <f t="shared" si="44"/>
        <v>385</v>
      </c>
      <c r="L260" s="99">
        <v>323.209</v>
      </c>
      <c r="M260" s="100">
        <f t="shared" si="50"/>
        <v>32.320900000000002</v>
      </c>
      <c r="N260" s="100">
        <f t="shared" si="51"/>
        <v>355.5299</v>
      </c>
      <c r="O260" s="101" t="str">
        <f t="shared" si="41"/>
        <v>Completed</v>
      </c>
      <c r="P260" s="81"/>
    </row>
    <row r="261" spans="1:16" x14ac:dyDescent="0.25">
      <c r="A261" s="187">
        <v>260</v>
      </c>
      <c r="B261" s="94"/>
      <c r="C261" s="394" t="s">
        <v>1426</v>
      </c>
      <c r="D261" s="81" t="s">
        <v>1462</v>
      </c>
      <c r="E261" s="132">
        <v>46006</v>
      </c>
      <c r="F261" s="146"/>
      <c r="G261" s="183" t="s">
        <v>993</v>
      </c>
      <c r="H261" s="98"/>
      <c r="I261" s="99">
        <v>3517.9879999999998</v>
      </c>
      <c r="J261" s="100">
        <f>I261*10%</f>
        <v>351.79880000000003</v>
      </c>
      <c r="K261" s="100">
        <f t="shared" si="44"/>
        <v>3869.7867999999999</v>
      </c>
      <c r="L261" s="99">
        <v>2931.6570000000002</v>
      </c>
      <c r="M261" s="100">
        <f t="shared" si="50"/>
        <v>293.16570000000002</v>
      </c>
      <c r="N261" s="100">
        <f t="shared" si="51"/>
        <v>3224.8227000000002</v>
      </c>
      <c r="O261" s="101" t="str">
        <f t="shared" si="41"/>
        <v>WIP</v>
      </c>
      <c r="P261" s="8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95279C4-0635-486B-875E-CB9A92790C3D}">
          <x14:formula1>
            <xm:f>Summary!$A:$A</xm:f>
          </x14:formula1>
          <xm:sqref>D1:D169 D262:D1048576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05B7-127B-4888-8E37-A25039242639}">
  <dimension ref="A1:R13"/>
  <sheetViews>
    <sheetView workbookViewId="0">
      <selection activeCell="I25" sqref="I25"/>
    </sheetView>
  </sheetViews>
  <sheetFormatPr defaultRowHeight="15" x14ac:dyDescent="0.25"/>
  <cols>
    <col min="1" max="1" width="7" bestFit="1" customWidth="1"/>
    <col min="2" max="2" width="7.42578125" bestFit="1" customWidth="1"/>
    <col min="3" max="3" width="10" bestFit="1" customWidth="1"/>
    <col min="4" max="5" width="10.42578125" bestFit="1" customWidth="1"/>
    <col min="6" max="6" width="18.7109375" bestFit="1" customWidth="1"/>
    <col min="7" max="7" width="17.7109375" bestFit="1" customWidth="1"/>
    <col min="8" max="8" width="8.42578125" bestFit="1" customWidth="1"/>
    <col min="9" max="9" width="9" bestFit="1" customWidth="1"/>
    <col min="10" max="10" width="18" bestFit="1" customWidth="1"/>
    <col min="11" max="11" width="10.42578125" bestFit="1" customWidth="1"/>
    <col min="12" max="12" width="9" bestFit="1" customWidth="1"/>
    <col min="13" max="13" width="13.42578125" bestFit="1" customWidth="1"/>
    <col min="14" max="14" width="9" bestFit="1" customWidth="1"/>
    <col min="15" max="15" width="8" bestFit="1" customWidth="1"/>
    <col min="16" max="16" width="10.7109375" bestFit="1" customWidth="1"/>
    <col min="17" max="17" width="8" bestFit="1" customWidth="1"/>
    <col min="18" max="18" width="14.42578125" bestFit="1" customWidth="1"/>
  </cols>
  <sheetData>
    <row r="1" spans="1:18" x14ac:dyDescent="0.25">
      <c r="A1" s="66" t="s">
        <v>837</v>
      </c>
      <c r="B1" s="66" t="s">
        <v>838</v>
      </c>
      <c r="C1" s="69" t="s">
        <v>839</v>
      </c>
      <c r="D1" s="66" t="s">
        <v>840</v>
      </c>
      <c r="E1" s="68" t="s">
        <v>841</v>
      </c>
      <c r="F1" s="68" t="s">
        <v>1185</v>
      </c>
      <c r="G1" s="67" t="s">
        <v>843</v>
      </c>
      <c r="H1" s="66" t="s">
        <v>845</v>
      </c>
      <c r="I1" s="66" t="s">
        <v>846</v>
      </c>
      <c r="J1" s="65" t="s">
        <v>847</v>
      </c>
      <c r="K1" s="64" t="s">
        <v>848</v>
      </c>
      <c r="L1" s="64" t="s">
        <v>846</v>
      </c>
      <c r="M1" s="64" t="s">
        <v>849</v>
      </c>
      <c r="N1" s="63" t="s">
        <v>850</v>
      </c>
      <c r="O1" s="63" t="s">
        <v>846</v>
      </c>
      <c r="P1" s="63" t="s">
        <v>851</v>
      </c>
      <c r="Q1" s="63" t="s">
        <v>852</v>
      </c>
      <c r="R1" s="63" t="s">
        <v>1186</v>
      </c>
    </row>
    <row r="2" spans="1:18" x14ac:dyDescent="0.25">
      <c r="A2" s="49">
        <v>1</v>
      </c>
      <c r="B2" s="58">
        <v>13</v>
      </c>
      <c r="C2" s="58" t="s">
        <v>1187</v>
      </c>
      <c r="D2" s="54" t="s">
        <v>1188</v>
      </c>
      <c r="E2" s="53">
        <v>45285</v>
      </c>
      <c r="F2" s="209" t="s">
        <v>1189</v>
      </c>
      <c r="G2" s="208" t="s">
        <v>1190</v>
      </c>
      <c r="H2" s="54">
        <v>196.221</v>
      </c>
      <c r="I2" s="51">
        <f t="shared" ref="I2:I9" si="0">IFERROR(IF(H2=0,"",H2*0.1),"")</f>
        <v>19.622100000000003</v>
      </c>
      <c r="J2" s="60">
        <f t="shared" ref="J2:J8" si="1">IFERROR(IF(H2=0,"",(H2*0.1)+H2),"")</f>
        <v>215.84309999999999</v>
      </c>
      <c r="K2" s="51">
        <v>173.06800000000001</v>
      </c>
      <c r="L2" s="51">
        <f t="shared" ref="L2:L9" si="2">IF(K2=0,"",K2*0.1)</f>
        <v>17.306800000000003</v>
      </c>
      <c r="M2" s="51">
        <f t="shared" ref="M2:M9" si="3">IF(K2=0,"",(K2*0.1)+K2)</f>
        <v>190.37480000000002</v>
      </c>
      <c r="N2" s="51">
        <f t="shared" ref="N2:N9" si="4">IF(K2=0,"",H2-K2)</f>
        <v>23.152999999999992</v>
      </c>
      <c r="O2" s="51">
        <f t="shared" ref="O2:O9" si="5">IFERROR(IF(N2=0,"",N2*0.1),"")</f>
        <v>2.3152999999999992</v>
      </c>
      <c r="P2" s="51">
        <f t="shared" ref="P2:P9" si="6">IFERROR(IF(K2=0,"",N2*0.1)+N2,"")</f>
        <v>25.468299999999992</v>
      </c>
      <c r="Q2" s="50">
        <f t="shared" ref="Q2:Q9" si="7">IFERROR(IF(K2=0,"",H2-K2)/K2,"")</f>
        <v>0.13377978598007714</v>
      </c>
      <c r="R2" s="54" t="s">
        <v>1191</v>
      </c>
    </row>
    <row r="3" spans="1:18" x14ac:dyDescent="0.25">
      <c r="A3" s="49">
        <v>2</v>
      </c>
      <c r="B3" s="58">
        <v>3</v>
      </c>
      <c r="C3" s="58" t="s">
        <v>1192</v>
      </c>
      <c r="D3" s="54" t="s">
        <v>206</v>
      </c>
      <c r="E3" s="53">
        <v>45514</v>
      </c>
      <c r="F3" s="2" t="s">
        <v>1193</v>
      </c>
      <c r="G3" s="49" t="s">
        <v>1194</v>
      </c>
      <c r="H3" s="54">
        <v>1752</v>
      </c>
      <c r="I3" s="51">
        <f t="shared" si="0"/>
        <v>175.20000000000002</v>
      </c>
      <c r="J3" s="60">
        <f t="shared" si="1"/>
        <v>1927.2</v>
      </c>
      <c r="K3" s="51">
        <v>1371.4590000000001</v>
      </c>
      <c r="L3" s="51">
        <f t="shared" si="2"/>
        <v>137.14590000000001</v>
      </c>
      <c r="M3" s="51">
        <f t="shared" si="3"/>
        <v>1508.6049</v>
      </c>
      <c r="N3" s="51">
        <f t="shared" si="4"/>
        <v>380.54099999999994</v>
      </c>
      <c r="O3" s="51">
        <f t="shared" si="5"/>
        <v>38.054099999999998</v>
      </c>
      <c r="P3" s="51">
        <f t="shared" si="6"/>
        <v>418.59509999999995</v>
      </c>
      <c r="Q3" s="50">
        <f t="shared" si="7"/>
        <v>0.2774716560976303</v>
      </c>
      <c r="R3" s="54" t="s">
        <v>1191</v>
      </c>
    </row>
    <row r="4" spans="1:18" x14ac:dyDescent="0.25">
      <c r="A4" s="49">
        <v>3</v>
      </c>
      <c r="B4" s="58">
        <v>9</v>
      </c>
      <c r="C4" s="58" t="s">
        <v>1195</v>
      </c>
      <c r="D4" s="54" t="s">
        <v>1196</v>
      </c>
      <c r="E4" s="53">
        <v>45502</v>
      </c>
      <c r="F4" s="62" t="s">
        <v>1197</v>
      </c>
      <c r="G4" s="211" t="s">
        <v>1198</v>
      </c>
      <c r="H4" s="54">
        <v>300.00400000000002</v>
      </c>
      <c r="I4" s="51">
        <f t="shared" si="0"/>
        <v>30.000400000000003</v>
      </c>
      <c r="J4" s="60">
        <f t="shared" si="1"/>
        <v>330.00440000000003</v>
      </c>
      <c r="K4" s="51">
        <v>245.16300000000001</v>
      </c>
      <c r="L4" s="51">
        <f t="shared" si="2"/>
        <v>24.516300000000001</v>
      </c>
      <c r="M4" s="51">
        <f t="shared" si="3"/>
        <v>269.67930000000001</v>
      </c>
      <c r="N4" s="51">
        <f t="shared" si="4"/>
        <v>54.841000000000008</v>
      </c>
      <c r="O4" s="51">
        <f t="shared" si="5"/>
        <v>5.4841000000000015</v>
      </c>
      <c r="P4" s="51">
        <f t="shared" si="6"/>
        <v>60.325100000000006</v>
      </c>
      <c r="Q4" s="50">
        <f t="shared" si="7"/>
        <v>0.22369199267426162</v>
      </c>
      <c r="R4" s="54" t="s">
        <v>1191</v>
      </c>
    </row>
    <row r="5" spans="1:18" x14ac:dyDescent="0.25">
      <c r="A5" s="49">
        <v>4</v>
      </c>
      <c r="B5" s="58">
        <v>10</v>
      </c>
      <c r="C5" s="58" t="s">
        <v>1199</v>
      </c>
      <c r="D5" s="54" t="s">
        <v>1196</v>
      </c>
      <c r="E5" s="61">
        <v>45504</v>
      </c>
      <c r="F5" s="2" t="s">
        <v>1200</v>
      </c>
      <c r="G5" s="208" t="s">
        <v>1201</v>
      </c>
      <c r="H5" s="54">
        <v>1110</v>
      </c>
      <c r="I5" s="54">
        <f t="shared" si="0"/>
        <v>111</v>
      </c>
      <c r="J5" s="57">
        <f t="shared" si="1"/>
        <v>1221</v>
      </c>
      <c r="K5" s="54">
        <v>839.60799999999995</v>
      </c>
      <c r="L5" s="51">
        <f t="shared" si="2"/>
        <v>83.960800000000006</v>
      </c>
      <c r="M5" s="51">
        <f t="shared" si="3"/>
        <v>923.56880000000001</v>
      </c>
      <c r="N5" s="51">
        <f t="shared" si="4"/>
        <v>270.39200000000005</v>
      </c>
      <c r="O5" s="51">
        <f t="shared" si="5"/>
        <v>27.039200000000008</v>
      </c>
      <c r="P5" s="51">
        <f t="shared" si="6"/>
        <v>297.43120000000005</v>
      </c>
      <c r="Q5" s="50">
        <f t="shared" si="7"/>
        <v>0.32204552600737496</v>
      </c>
      <c r="R5" s="54" t="s">
        <v>1191</v>
      </c>
    </row>
    <row r="6" spans="1:18" x14ac:dyDescent="0.25">
      <c r="A6" s="58">
        <v>5</v>
      </c>
      <c r="B6" s="58">
        <v>8</v>
      </c>
      <c r="C6" s="58" t="s">
        <v>1202</v>
      </c>
      <c r="D6" s="54" t="s">
        <v>825</v>
      </c>
      <c r="E6" s="61">
        <v>45483</v>
      </c>
      <c r="F6" s="48"/>
      <c r="G6" s="212" t="s">
        <v>1203</v>
      </c>
      <c r="H6" s="54">
        <v>223</v>
      </c>
      <c r="I6" s="51">
        <f t="shared" si="0"/>
        <v>22.3</v>
      </c>
      <c r="J6" s="60">
        <f t="shared" si="1"/>
        <v>245.3</v>
      </c>
      <c r="K6" s="51">
        <v>188.24600000000001</v>
      </c>
      <c r="L6" s="51">
        <f t="shared" si="2"/>
        <v>18.8246</v>
      </c>
      <c r="M6" s="51">
        <f t="shared" si="3"/>
        <v>207.07060000000001</v>
      </c>
      <c r="N6" s="51">
        <f t="shared" si="4"/>
        <v>34.753999999999991</v>
      </c>
      <c r="O6" s="51">
        <f t="shared" si="5"/>
        <v>3.4753999999999992</v>
      </c>
      <c r="P6" s="51">
        <f t="shared" si="6"/>
        <v>38.229399999999991</v>
      </c>
      <c r="Q6" s="50">
        <f t="shared" si="7"/>
        <v>0.1846201247304059</v>
      </c>
      <c r="R6" s="54" t="s">
        <v>1191</v>
      </c>
    </row>
    <row r="7" spans="1:18" x14ac:dyDescent="0.25">
      <c r="A7" s="58">
        <v>6</v>
      </c>
      <c r="B7" s="58">
        <v>11</v>
      </c>
      <c r="C7" s="207" t="s">
        <v>1204</v>
      </c>
      <c r="D7" s="54" t="s">
        <v>115</v>
      </c>
      <c r="E7" s="59">
        <v>45578</v>
      </c>
      <c r="F7" s="54" t="s">
        <v>1205</v>
      </c>
      <c r="G7" s="210" t="s">
        <v>1206</v>
      </c>
      <c r="H7" s="54">
        <v>3927.5</v>
      </c>
      <c r="I7" s="54">
        <f t="shared" si="0"/>
        <v>392.75</v>
      </c>
      <c r="J7" s="57">
        <f t="shared" si="1"/>
        <v>4320.25</v>
      </c>
      <c r="K7" s="54">
        <v>3109.86</v>
      </c>
      <c r="L7" s="54">
        <f t="shared" si="2"/>
        <v>310.98600000000005</v>
      </c>
      <c r="M7" s="54">
        <f t="shared" si="3"/>
        <v>3420.846</v>
      </c>
      <c r="N7" s="54">
        <f t="shared" si="4"/>
        <v>817.63999999999987</v>
      </c>
      <c r="O7" s="54">
        <f t="shared" si="5"/>
        <v>81.763999999999996</v>
      </c>
      <c r="P7" s="54">
        <f t="shared" si="6"/>
        <v>899.40399999999988</v>
      </c>
      <c r="Q7" s="50">
        <f t="shared" si="7"/>
        <v>0.26291858797502132</v>
      </c>
      <c r="R7" s="54" t="s">
        <v>1191</v>
      </c>
    </row>
    <row r="8" spans="1:18" x14ac:dyDescent="0.25">
      <c r="A8" s="58">
        <v>7</v>
      </c>
      <c r="B8" s="58">
        <v>19</v>
      </c>
      <c r="C8" s="58" t="s">
        <v>1207</v>
      </c>
      <c r="D8" s="54" t="s">
        <v>115</v>
      </c>
      <c r="E8" s="59">
        <v>45631</v>
      </c>
      <c r="F8" s="54" t="s">
        <v>1208</v>
      </c>
      <c r="G8" s="54"/>
      <c r="H8" s="54">
        <v>440</v>
      </c>
      <c r="I8" s="54">
        <f t="shared" si="0"/>
        <v>44</v>
      </c>
      <c r="J8" s="57">
        <f t="shared" si="1"/>
        <v>484</v>
      </c>
      <c r="K8" s="54">
        <v>367.041</v>
      </c>
      <c r="L8" s="54">
        <f t="shared" si="2"/>
        <v>36.704100000000004</v>
      </c>
      <c r="M8" s="54">
        <f t="shared" si="3"/>
        <v>403.74509999999998</v>
      </c>
      <c r="N8" s="54">
        <f t="shared" si="4"/>
        <v>72.959000000000003</v>
      </c>
      <c r="O8" s="54">
        <f t="shared" si="5"/>
        <v>7.2959000000000005</v>
      </c>
      <c r="P8" s="54">
        <f t="shared" si="6"/>
        <v>80.254900000000006</v>
      </c>
      <c r="Q8" s="50">
        <f>IFERROR(IF(K8=0,"",H8-K8)/K8,"")</f>
        <v>0.19877615852180003</v>
      </c>
      <c r="R8" s="54" t="s">
        <v>1191</v>
      </c>
    </row>
    <row r="9" spans="1:18" x14ac:dyDescent="0.25">
      <c r="A9" s="54">
        <v>8</v>
      </c>
      <c r="B9" s="58">
        <v>5</v>
      </c>
      <c r="C9" s="214" t="s">
        <v>1209</v>
      </c>
      <c r="D9" s="54" t="s">
        <v>1210</v>
      </c>
      <c r="E9" s="59">
        <v>45725</v>
      </c>
      <c r="F9" s="54"/>
      <c r="G9" s="54"/>
      <c r="H9" s="54">
        <v>2940</v>
      </c>
      <c r="I9" s="54">
        <f t="shared" si="0"/>
        <v>294</v>
      </c>
      <c r="J9" s="57">
        <v>3234</v>
      </c>
      <c r="K9" s="54">
        <v>1814.877</v>
      </c>
      <c r="L9" s="54">
        <f t="shared" si="2"/>
        <v>181.48770000000002</v>
      </c>
      <c r="M9" s="54">
        <f t="shared" si="3"/>
        <v>1996.3647000000001</v>
      </c>
      <c r="N9" s="54">
        <f t="shared" si="4"/>
        <v>1125.123</v>
      </c>
      <c r="O9" s="54">
        <f t="shared" si="5"/>
        <v>112.51230000000001</v>
      </c>
      <c r="P9" s="54">
        <f t="shared" si="6"/>
        <v>1237.6353000000001</v>
      </c>
      <c r="Q9" s="50">
        <f t="shared" si="7"/>
        <v>0.61994449210607661</v>
      </c>
      <c r="R9" s="54" t="s">
        <v>1211</v>
      </c>
    </row>
    <row r="10" spans="1:18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7"/>
      <c r="K10" s="54"/>
      <c r="L10" s="54"/>
      <c r="M10" s="54"/>
      <c r="N10" s="54"/>
      <c r="O10" s="54"/>
      <c r="P10" s="54"/>
      <c r="Q10" s="54"/>
      <c r="R10" s="54"/>
    </row>
    <row r="11" spans="1:18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7"/>
      <c r="K11" s="54"/>
      <c r="L11" s="54"/>
      <c r="M11" s="54"/>
      <c r="N11" s="54"/>
      <c r="O11" s="54"/>
      <c r="P11" s="54"/>
      <c r="Q11" s="54"/>
      <c r="R11" s="54"/>
    </row>
    <row r="12" spans="1:18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7"/>
      <c r="K12" s="54"/>
      <c r="L12" s="54"/>
      <c r="M12" s="54"/>
      <c r="N12" s="54"/>
      <c r="O12" s="54"/>
      <c r="P12" s="54"/>
      <c r="Q12" s="54"/>
      <c r="R12" s="54"/>
    </row>
    <row r="13" spans="1:18" x14ac:dyDescent="0.25">
      <c r="J13" s="56"/>
      <c r="M13" s="55">
        <f>M2+M3+M4+M5+M6+M7+M8+M9</f>
        <v>8920.2541999999994</v>
      </c>
      <c r="P13" s="55">
        <f>(P2+P3+P4+P5+P6+P7+P8+P9)</f>
        <v>3057.3432999999995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4715-09CD-4EFF-8CF7-70B9D4123E92}">
  <dimension ref="A1:R8"/>
  <sheetViews>
    <sheetView workbookViewId="0">
      <selection activeCell="L10" sqref="L10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3" width="21.42578125" customWidth="1"/>
    <col min="4" max="4" width="10.42578125" bestFit="1" customWidth="1"/>
    <col min="5" max="5" width="27.28515625" bestFit="1" customWidth="1"/>
    <col min="6" max="6" width="17.7109375" bestFit="1" customWidth="1"/>
    <col min="7" max="8" width="10.42578125" bestFit="1" customWidth="1"/>
    <col min="9" max="9" width="18" bestFit="1" customWidth="1"/>
    <col min="10" max="10" width="11.42578125" bestFit="1" customWidth="1"/>
    <col min="11" max="11" width="10.42578125" bestFit="1" customWidth="1"/>
    <col min="12" max="12" width="13.42578125" bestFit="1" customWidth="1"/>
    <col min="13" max="13" width="10.42578125" bestFit="1" customWidth="1"/>
    <col min="14" max="14" width="9" bestFit="1" customWidth="1"/>
    <col min="15" max="15" width="10.7109375" bestFit="1" customWidth="1"/>
    <col min="16" max="16" width="8" bestFit="1" customWidth="1"/>
    <col min="17" max="17" width="14.42578125" bestFit="1" customWidth="1"/>
    <col min="18" max="18" width="20.42578125" bestFit="1" customWidth="1"/>
  </cols>
  <sheetData>
    <row r="1" spans="1:18" x14ac:dyDescent="0.25">
      <c r="A1" s="18" t="s">
        <v>838</v>
      </c>
      <c r="B1" s="70" t="s">
        <v>839</v>
      </c>
      <c r="C1" s="18" t="s">
        <v>840</v>
      </c>
      <c r="D1" s="71" t="s">
        <v>841</v>
      </c>
      <c r="E1" s="71" t="s">
        <v>1212</v>
      </c>
      <c r="F1" s="72" t="s">
        <v>843</v>
      </c>
      <c r="G1" s="18" t="s">
        <v>845</v>
      </c>
      <c r="H1" s="18" t="s">
        <v>846</v>
      </c>
      <c r="I1" s="18" t="s">
        <v>847</v>
      </c>
      <c r="J1" s="73" t="s">
        <v>848</v>
      </c>
      <c r="K1" s="73" t="s">
        <v>846</v>
      </c>
      <c r="L1" s="73" t="s">
        <v>849</v>
      </c>
      <c r="M1" s="74" t="s">
        <v>850</v>
      </c>
      <c r="N1" s="74" t="s">
        <v>846</v>
      </c>
      <c r="O1" s="74" t="s">
        <v>851</v>
      </c>
      <c r="P1" s="74" t="s">
        <v>852</v>
      </c>
      <c r="Q1" s="75" t="s">
        <v>1186</v>
      </c>
    </row>
    <row r="2" spans="1:18" x14ac:dyDescent="0.25">
      <c r="A2" s="54">
        <v>13</v>
      </c>
      <c r="B2" s="52" t="s">
        <v>1213</v>
      </c>
      <c r="C2" s="54" t="s">
        <v>206</v>
      </c>
      <c r="D2" s="59">
        <v>45363</v>
      </c>
      <c r="E2" s="59"/>
      <c r="F2" s="53"/>
      <c r="G2" s="54">
        <v>432.48</v>
      </c>
      <c r="H2" s="51">
        <f t="shared" ref="H2:H7" si="0">IFERROR(IF(G2=0,"",G2*0.1),"")</f>
        <v>43.248000000000005</v>
      </c>
      <c r="I2" s="51">
        <f t="shared" ref="I2:I7" si="1">IFERROR(IF(G2=0,"",(G2*0.1)+G2),"")</f>
        <v>475.72800000000001</v>
      </c>
      <c r="J2" s="51">
        <v>408</v>
      </c>
      <c r="K2" s="51">
        <f t="shared" ref="K2:K7" si="2">IF(J2=0,"",J2*0.1)</f>
        <v>40.800000000000004</v>
      </c>
      <c r="L2" s="51">
        <f t="shared" ref="L2:L7" si="3">IF(J2=0,"",(J2*0.1)+J2)</f>
        <v>448.8</v>
      </c>
      <c r="M2" s="51">
        <f t="shared" ref="M2:M7" si="4">IF(J2=0,"",G2-J2)</f>
        <v>24.480000000000018</v>
      </c>
      <c r="N2" s="51">
        <f t="shared" ref="N2:N7" si="5">IFERROR(IF(M2=0,"",M2*0.1),"")</f>
        <v>2.4480000000000022</v>
      </c>
      <c r="O2" s="51">
        <f t="shared" ref="O2:O7" si="6">IFERROR(IF(J2=0,"",M2*0.1)+M2,"")</f>
        <v>26.928000000000019</v>
      </c>
      <c r="P2" s="50">
        <f t="shared" ref="P2:P7" si="7">IFERROR(IF(J2=0,"",G2-J2)/J2,"")</f>
        <v>6.0000000000000046E-2</v>
      </c>
      <c r="Q2" s="54"/>
      <c r="R2" s="54"/>
    </row>
    <row r="3" spans="1:18" x14ac:dyDescent="0.25">
      <c r="A3" s="54">
        <v>12</v>
      </c>
      <c r="B3" s="76" t="s">
        <v>1214</v>
      </c>
      <c r="C3" s="54" t="s">
        <v>1215</v>
      </c>
      <c r="D3" s="59">
        <v>45321</v>
      </c>
      <c r="E3" s="54" t="s">
        <v>1216</v>
      </c>
      <c r="F3" s="54" t="s">
        <v>1217</v>
      </c>
      <c r="G3" s="54">
        <v>306</v>
      </c>
      <c r="H3" s="51">
        <f t="shared" si="0"/>
        <v>30.6</v>
      </c>
      <c r="I3" s="51">
        <f t="shared" si="1"/>
        <v>336.6</v>
      </c>
      <c r="J3" s="51">
        <v>291.45</v>
      </c>
      <c r="K3" s="51">
        <f t="shared" si="2"/>
        <v>29.145</v>
      </c>
      <c r="L3" s="51">
        <f t="shared" si="3"/>
        <v>320.59499999999997</v>
      </c>
      <c r="M3" s="51">
        <f t="shared" si="4"/>
        <v>14.550000000000011</v>
      </c>
      <c r="N3" s="51">
        <f t="shared" si="5"/>
        <v>1.4550000000000012</v>
      </c>
      <c r="O3" s="51">
        <f t="shared" si="6"/>
        <v>16.005000000000013</v>
      </c>
      <c r="P3" s="50">
        <f t="shared" si="7"/>
        <v>4.9922799794132826E-2</v>
      </c>
      <c r="Q3" s="54"/>
      <c r="R3" s="54"/>
    </row>
    <row r="4" spans="1:18" x14ac:dyDescent="0.25">
      <c r="A4" s="54">
        <v>12</v>
      </c>
      <c r="B4" s="76" t="s">
        <v>1218</v>
      </c>
      <c r="C4" s="54" t="s">
        <v>1219</v>
      </c>
      <c r="D4" s="59">
        <v>45386</v>
      </c>
      <c r="E4" s="54" t="s">
        <v>1220</v>
      </c>
      <c r="F4" s="54" t="s">
        <v>1221</v>
      </c>
      <c r="G4" s="57">
        <v>1568.34</v>
      </c>
      <c r="H4" s="79">
        <f t="shared" si="0"/>
        <v>156.834</v>
      </c>
      <c r="I4" s="79">
        <f t="shared" si="1"/>
        <v>1725.174</v>
      </c>
      <c r="J4" s="79">
        <v>1264.548</v>
      </c>
      <c r="K4" s="79">
        <f t="shared" si="2"/>
        <v>126.45480000000001</v>
      </c>
      <c r="L4" s="79">
        <f t="shared" si="3"/>
        <v>1391.0028</v>
      </c>
      <c r="M4" s="79">
        <f t="shared" si="4"/>
        <v>303.79199999999992</v>
      </c>
      <c r="N4" s="79">
        <f t="shared" si="5"/>
        <v>30.379199999999994</v>
      </c>
      <c r="O4" s="79">
        <f t="shared" si="6"/>
        <v>334.17119999999989</v>
      </c>
      <c r="P4" s="80">
        <f t="shared" si="7"/>
        <v>0.24023761850083977</v>
      </c>
      <c r="Q4" s="54"/>
      <c r="R4" s="54"/>
    </row>
    <row r="5" spans="1:18" x14ac:dyDescent="0.25">
      <c r="A5" s="54">
        <v>13</v>
      </c>
      <c r="B5" s="77" t="s">
        <v>1222</v>
      </c>
      <c r="C5" s="54" t="s">
        <v>67</v>
      </c>
      <c r="D5" s="59">
        <v>45285</v>
      </c>
      <c r="E5" s="54" t="s">
        <v>1223</v>
      </c>
      <c r="F5" s="54" t="s">
        <v>1224</v>
      </c>
      <c r="G5" s="54">
        <v>300.25799999999998</v>
      </c>
      <c r="H5" s="51">
        <f t="shared" si="0"/>
        <v>30.0258</v>
      </c>
      <c r="I5" s="51">
        <f>G5+H5</f>
        <v>330.28379999999999</v>
      </c>
      <c r="J5" s="51">
        <v>396.762</v>
      </c>
      <c r="K5" s="51">
        <f t="shared" si="2"/>
        <v>39.676200000000001</v>
      </c>
      <c r="L5" s="51">
        <v>330.27499999999998</v>
      </c>
      <c r="M5" s="51">
        <f t="shared" si="4"/>
        <v>-96.504000000000019</v>
      </c>
      <c r="N5" s="51">
        <f t="shared" si="5"/>
        <v>-9.650400000000003</v>
      </c>
      <c r="O5" s="51">
        <f t="shared" si="6"/>
        <v>-106.15440000000002</v>
      </c>
      <c r="P5" s="50">
        <f t="shared" si="7"/>
        <v>-0.24322893825517569</v>
      </c>
      <c r="Q5" s="54"/>
      <c r="R5" s="78" t="s">
        <v>1225</v>
      </c>
    </row>
    <row r="6" spans="1:18" x14ac:dyDescent="0.25">
      <c r="A6" s="215">
        <v>13</v>
      </c>
      <c r="B6" s="216" t="s">
        <v>1226</v>
      </c>
      <c r="C6" s="215" t="s">
        <v>1227</v>
      </c>
      <c r="D6" s="217">
        <v>45371</v>
      </c>
      <c r="E6" s="215" t="s">
        <v>982</v>
      </c>
      <c r="F6" s="215"/>
      <c r="G6" s="215">
        <v>19638</v>
      </c>
      <c r="H6" s="218">
        <f t="shared" si="0"/>
        <v>1963.8000000000002</v>
      </c>
      <c r="I6" s="218">
        <f t="shared" si="1"/>
        <v>21601.8</v>
      </c>
      <c r="J6" s="218">
        <v>18005.851999999999</v>
      </c>
      <c r="K6" s="218">
        <f t="shared" si="2"/>
        <v>1800.5852</v>
      </c>
      <c r="L6" s="218">
        <f t="shared" si="3"/>
        <v>19806.4372</v>
      </c>
      <c r="M6" s="218">
        <f t="shared" si="4"/>
        <v>1632.148000000001</v>
      </c>
      <c r="N6" s="218">
        <f t="shared" si="5"/>
        <v>163.21480000000011</v>
      </c>
      <c r="O6" s="218">
        <f t="shared" si="6"/>
        <v>1795.3628000000012</v>
      </c>
      <c r="P6" s="219">
        <f t="shared" si="7"/>
        <v>9.0645419055982529E-2</v>
      </c>
      <c r="Q6" s="215"/>
      <c r="R6" s="215"/>
    </row>
    <row r="7" spans="1:18" x14ac:dyDescent="0.25">
      <c r="A7" s="2"/>
      <c r="B7" s="2" t="s">
        <v>1228</v>
      </c>
      <c r="C7" s="2" t="s">
        <v>1229</v>
      </c>
      <c r="D7" s="2"/>
      <c r="E7" s="2" t="s">
        <v>1230</v>
      </c>
      <c r="F7" s="2"/>
      <c r="G7" s="2">
        <v>25719.278999999999</v>
      </c>
      <c r="H7" s="13">
        <f t="shared" si="0"/>
        <v>2571.9279000000001</v>
      </c>
      <c r="I7" s="13">
        <f t="shared" si="1"/>
        <v>28291.206899999997</v>
      </c>
      <c r="J7" s="13">
        <v>24465.098000000002</v>
      </c>
      <c r="K7" s="13">
        <f t="shared" si="2"/>
        <v>2446.5098000000003</v>
      </c>
      <c r="L7" s="13">
        <f t="shared" si="3"/>
        <v>26911.607800000002</v>
      </c>
      <c r="M7" s="13">
        <f t="shared" si="4"/>
        <v>1254.1809999999969</v>
      </c>
      <c r="N7" s="13">
        <f t="shared" si="5"/>
        <v>125.4180999999997</v>
      </c>
      <c r="O7" s="13">
        <f t="shared" si="6"/>
        <v>1379.5990999999965</v>
      </c>
      <c r="P7" s="220">
        <f t="shared" si="7"/>
        <v>5.1264090583246255E-2</v>
      </c>
      <c r="Q7" s="2"/>
      <c r="R7" s="2"/>
    </row>
    <row r="8" spans="1:18" x14ac:dyDescent="0.25">
      <c r="A8" s="2"/>
      <c r="B8" s="221" t="s">
        <v>1231</v>
      </c>
      <c r="C8" s="2" t="s">
        <v>216</v>
      </c>
      <c r="D8" s="2"/>
      <c r="E8" s="2" t="s">
        <v>1232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4034-FD0E-42E7-82D9-A1E3D0A8A35D}">
  <dimension ref="A1:AA71"/>
  <sheetViews>
    <sheetView topLeftCell="J16" zoomScaleNormal="100" workbookViewId="0">
      <selection activeCell="O32" sqref="O32"/>
    </sheetView>
  </sheetViews>
  <sheetFormatPr defaultRowHeight="15" x14ac:dyDescent="0.25"/>
  <cols>
    <col min="1" max="1" width="40.28515625" bestFit="1" customWidth="1"/>
    <col min="2" max="2" width="18.42578125" customWidth="1"/>
    <col min="3" max="3" width="17.42578125" bestFit="1" customWidth="1"/>
    <col min="4" max="4" width="10.42578125" bestFit="1" customWidth="1"/>
    <col min="5" max="5" width="12.42578125" bestFit="1" customWidth="1"/>
    <col min="6" max="6" width="10.28515625" bestFit="1" customWidth="1"/>
    <col min="7" max="7" width="12.42578125" bestFit="1" customWidth="1"/>
    <col min="10" max="10" width="5.42578125" bestFit="1" customWidth="1"/>
    <col min="11" max="11" width="9.42578125" customWidth="1"/>
    <col min="12" max="13" width="13.42578125" customWidth="1"/>
    <col min="14" max="14" width="10.28515625" bestFit="1" customWidth="1"/>
    <col min="15" max="15" width="11.42578125" bestFit="1" customWidth="1"/>
    <col min="16" max="16" width="10.7109375" bestFit="1" customWidth="1"/>
    <col min="17" max="17" width="8" customWidth="1"/>
    <col min="18" max="18" width="30.42578125" bestFit="1" customWidth="1"/>
    <col min="24" max="24" width="16.42578125" customWidth="1"/>
  </cols>
  <sheetData>
    <row r="1" spans="1:27" x14ac:dyDescent="0.25">
      <c r="A1" s="276" t="s">
        <v>777</v>
      </c>
      <c r="B1" s="276" t="s">
        <v>778</v>
      </c>
      <c r="C1" s="276" t="s">
        <v>779</v>
      </c>
      <c r="D1" s="276" t="s">
        <v>780</v>
      </c>
      <c r="E1" s="276" t="s">
        <v>781</v>
      </c>
      <c r="F1" s="276" t="s">
        <v>782</v>
      </c>
      <c r="G1" s="276" t="s">
        <v>783</v>
      </c>
      <c r="H1" s="276" t="s">
        <v>15</v>
      </c>
      <c r="I1" s="273" t="s">
        <v>784</v>
      </c>
      <c r="K1" s="422" t="s">
        <v>785</v>
      </c>
      <c r="L1" s="422"/>
      <c r="M1" s="422"/>
      <c r="N1" s="422"/>
      <c r="O1" s="422"/>
      <c r="P1" s="422"/>
      <c r="R1" s="423" t="s">
        <v>786</v>
      </c>
      <c r="S1" s="423"/>
      <c r="X1" s="5" t="s">
        <v>9</v>
      </c>
      <c r="Y1" t="s">
        <v>787</v>
      </c>
      <c r="AA1" t="s">
        <v>788</v>
      </c>
    </row>
    <row r="2" spans="1:27" x14ac:dyDescent="0.25">
      <c r="A2" s="29" t="s">
        <v>789</v>
      </c>
      <c r="B2" s="4" t="s">
        <v>790</v>
      </c>
      <c r="C2" s="2">
        <f>COUNTIF('2025'!F:F,Summary!A2)</f>
        <v>0</v>
      </c>
      <c r="D2" s="2">
        <f>COUNTIFS('2025'!F:F,Summary!A2,'2025'!J:J,$X$6)</f>
        <v>0</v>
      </c>
      <c r="E2" s="2">
        <f>COUNTIFS('2025'!F:F,Summary!A2,'2025'!J:J,$X$7)</f>
        <v>0</v>
      </c>
      <c r="F2" s="2">
        <f>COUNTIFS('2025'!F:F,Summary!A2,'2025'!J:J,"&lt;&gt;$X$7",'2025'!J:J,"&lt;&gt;$X$6")</f>
        <v>0</v>
      </c>
      <c r="G2" s="13">
        <f>SUMIFS('2025'!I:I,'2025'!F:F,Summary!A:A,'2025'!I:I,X6)</f>
        <v>0</v>
      </c>
      <c r="H2" s="2" t="s">
        <v>238</v>
      </c>
      <c r="I2" t="s">
        <v>795</v>
      </c>
      <c r="K2" s="18" t="s">
        <v>792</v>
      </c>
      <c r="L2" s="16" t="s">
        <v>793</v>
      </c>
      <c r="M2" s="16" t="s">
        <v>779</v>
      </c>
      <c r="N2" s="16" t="s">
        <v>794</v>
      </c>
      <c r="O2" s="16" t="s">
        <v>21</v>
      </c>
      <c r="P2" s="21" t="s">
        <v>782</v>
      </c>
      <c r="R2" s="31" t="s">
        <v>790</v>
      </c>
      <c r="S2" s="2">
        <f>COUNTIF(B:B,R2)</f>
        <v>34</v>
      </c>
      <c r="T2" s="271" t="s">
        <v>791</v>
      </c>
      <c r="U2" s="272" t="s">
        <v>795</v>
      </c>
      <c r="X2" s="382" t="s">
        <v>1608</v>
      </c>
      <c r="Y2" t="s">
        <v>341</v>
      </c>
      <c r="AA2" t="s">
        <v>796</v>
      </c>
    </row>
    <row r="3" spans="1:27" x14ac:dyDescent="0.25">
      <c r="A3" s="25" t="s">
        <v>153</v>
      </c>
      <c r="B3" s="4" t="s">
        <v>790</v>
      </c>
      <c r="C3" s="2">
        <f>COUNTIF('2025'!F:F,Summary!A3)</f>
        <v>26</v>
      </c>
      <c r="D3" s="2">
        <f>COUNTIFS('2025'!F:F,Summary!A3,'2025'!J:J,$X$6)</f>
        <v>0</v>
      </c>
      <c r="E3" s="2">
        <f>COUNTIFS('2025'!F:F,Summary!A3,'2025'!J:J,$X$7)</f>
        <v>0</v>
      </c>
      <c r="F3" s="2">
        <f>COUNTIFS('2025'!F:F,Summary!A3,'2025'!J:J,"&lt;&gt;X7",'2025'!J:J,"&lt;&gt;X6")</f>
        <v>26</v>
      </c>
      <c r="G3" s="13">
        <f>SUMIFS('2025'!I:I,'2025'!F:F,Summary!A:A,'2025'!I:I,X7)</f>
        <v>0</v>
      </c>
      <c r="H3" s="2" t="s">
        <v>238</v>
      </c>
      <c r="I3" t="s">
        <v>791</v>
      </c>
      <c r="K3" s="28" t="s">
        <v>24</v>
      </c>
      <c r="L3" s="15">
        <f>COUNTIF(H:H,K3)</f>
        <v>9</v>
      </c>
      <c r="M3" s="2">
        <f>COUNTIFS('2025'!$P:$P,Summary!$K3,'2025'!J:J,"&lt;&gt;X6",'2025'!J:J,"&lt;&gt;X7")</f>
        <v>90</v>
      </c>
      <c r="N3" s="19">
        <f>SUMIFS(D:D,H:H,K3)</f>
        <v>0</v>
      </c>
      <c r="O3" s="2">
        <f>COUNTIFS('2025'!$P:$P,Summary!$K3,'2025'!$I:$I,X7)</f>
        <v>0</v>
      </c>
      <c r="P3" s="20">
        <f>SUMIFS(F:F,H:H,K3)</f>
        <v>70</v>
      </c>
      <c r="R3" s="31" t="s">
        <v>797</v>
      </c>
      <c r="S3" s="2">
        <f>COUNTIF(B:B,R3)</f>
        <v>12</v>
      </c>
      <c r="U3" s="272" t="s">
        <v>795</v>
      </c>
      <c r="X3" s="382" t="s">
        <v>1610</v>
      </c>
      <c r="Y3" t="s">
        <v>798</v>
      </c>
      <c r="AA3" t="s">
        <v>799</v>
      </c>
    </row>
    <row r="4" spans="1:27" x14ac:dyDescent="0.25">
      <c r="A4" s="23" t="s">
        <v>101</v>
      </c>
      <c r="B4" s="4" t="s">
        <v>790</v>
      </c>
      <c r="C4" s="2">
        <f>COUNTIF('2025'!F:F,Summary!A4)</f>
        <v>49</v>
      </c>
      <c r="D4" s="2">
        <f>COUNTIFS('2025'!F:F,Summary!A4,'2025'!J:J,$X$6)</f>
        <v>0</v>
      </c>
      <c r="E4" s="2">
        <f>COUNTIFS('2025'!F:F,Summary!A4,'2025'!J:J,$X$7)</f>
        <v>0</v>
      </c>
      <c r="F4" s="2">
        <f>COUNTIFS('2025'!F:F,Summary!A4,'2025'!J:J,"&lt;&gt;X7",'2025'!J:J,"&lt;&gt;X6")</f>
        <v>49</v>
      </c>
      <c r="G4" s="13">
        <f>SUMIFS('2025'!I:I,'2025'!F:F,Summary!A:A,'2025'!I:I,X8)</f>
        <v>0</v>
      </c>
      <c r="H4" s="2" t="s">
        <v>54</v>
      </c>
      <c r="I4" t="s">
        <v>791</v>
      </c>
      <c r="K4" s="27" t="s">
        <v>54</v>
      </c>
      <c r="L4" s="15">
        <f>COUNTIF(H:H,K4)</f>
        <v>14</v>
      </c>
      <c r="M4" s="2">
        <f>COUNTIFS('2025'!$P:$P,Summary!$K4,'2025'!J:J,"&lt;&gt;X6",'2025'!J:J,"&lt;&gt;X7")</f>
        <v>200</v>
      </c>
      <c r="N4" s="19">
        <f>SUMIFS(D:D,H:H,K4)</f>
        <v>0</v>
      </c>
      <c r="O4" s="2">
        <f>COUNTIFS('2025'!$P:$P,Summary!$K4,'2025'!$I:$I,X8)</f>
        <v>0</v>
      </c>
      <c r="P4" s="20">
        <f>SUMIFS(F:F,H:H,K4)</f>
        <v>141</v>
      </c>
      <c r="R4" s="31" t="s">
        <v>800</v>
      </c>
      <c r="S4" s="2">
        <f>COUNTIF(B:B,R4)</f>
        <v>8</v>
      </c>
      <c r="U4" s="272" t="s">
        <v>795</v>
      </c>
      <c r="X4" s="382" t="s">
        <v>1611</v>
      </c>
      <c r="Y4" t="s">
        <v>119</v>
      </c>
      <c r="AA4" t="s">
        <v>801</v>
      </c>
    </row>
    <row r="5" spans="1:27" x14ac:dyDescent="0.25">
      <c r="A5" s="222" t="s">
        <v>27</v>
      </c>
      <c r="B5" s="4" t="s">
        <v>790</v>
      </c>
      <c r="C5" s="2">
        <f>COUNTIF('2025'!F:F,Summary!A5)</f>
        <v>12</v>
      </c>
      <c r="D5" s="2">
        <f>COUNTIFS('2025'!F:F,Summary!A5,'2025'!J:J,$X$6)</f>
        <v>0</v>
      </c>
      <c r="E5" s="2">
        <f>COUNTIFS('2025'!F:F,Summary!A5,'2025'!J:J,$X$7)</f>
        <v>0</v>
      </c>
      <c r="F5" s="2">
        <f>COUNTIFS('2025'!F:F,Summary!A5,'2025'!J:J,"&lt;&gt;X7",'2025'!J:J,"&lt;&gt;X6")</f>
        <v>12</v>
      </c>
      <c r="G5" s="13">
        <f>SUMIFS('2025'!I:I,'2025'!F:F,Summary!A:A,'2025'!I:I,X9)</f>
        <v>0</v>
      </c>
      <c r="H5" s="2" t="s">
        <v>238</v>
      </c>
      <c r="I5" t="s">
        <v>791</v>
      </c>
      <c r="K5" s="14" t="s">
        <v>621</v>
      </c>
      <c r="L5" s="2">
        <f>COUNTIF(H:H,K5)</f>
        <v>0</v>
      </c>
      <c r="M5" s="2">
        <f>COUNTIFS('2025'!$P:$P,Summary!$K5,'2025'!J:J,"&lt;&gt;X6",'2025'!J:J,"&lt;&gt;X7")</f>
        <v>26</v>
      </c>
      <c r="N5" s="19">
        <f>SUMIFS(D:D,H:H,K5)</f>
        <v>0</v>
      </c>
      <c r="O5" s="2">
        <f>COUNTIFS('2025'!$P:$P,Summary!$K5,'2025'!$I:$I,X9)</f>
        <v>0</v>
      </c>
      <c r="P5" s="20">
        <f>SUMIFS(F:F,H:H,K5)</f>
        <v>0</v>
      </c>
      <c r="R5" s="31" t="s">
        <v>802</v>
      </c>
      <c r="S5" s="2">
        <f>COUNTIF(B:B,R5)</f>
        <v>16</v>
      </c>
      <c r="U5" s="272" t="s">
        <v>795</v>
      </c>
      <c r="X5" s="382" t="s">
        <v>1613</v>
      </c>
      <c r="Y5" t="s">
        <v>326</v>
      </c>
    </row>
    <row r="6" spans="1:27" x14ac:dyDescent="0.25">
      <c r="A6" s="303" t="s">
        <v>197</v>
      </c>
      <c r="B6" s="4" t="s">
        <v>790</v>
      </c>
      <c r="C6" s="2">
        <f>COUNTIF('2025'!F:F,Summary!A6)</f>
        <v>11</v>
      </c>
      <c r="D6" s="2">
        <f>COUNTIFS('2025'!F:F,Summary!A6,'2025'!J:J,$X$6)</f>
        <v>0</v>
      </c>
      <c r="E6" s="2">
        <f>COUNTIFS('2025'!F:F,Summary!A6,'2025'!J:J,$X$7)</f>
        <v>0</v>
      </c>
      <c r="F6" s="2">
        <f>COUNTIFS('2025'!F:F,Summary!A6,'2025'!J:J,"&lt;&gt;X7",'2025'!J:J,"&lt;&gt;X6")</f>
        <v>11</v>
      </c>
      <c r="G6" s="13">
        <f>SUMIFS('2025'!I:I,'2025'!F:F,Summary!A:A,'2025'!I:I,X10)</f>
        <v>0</v>
      </c>
      <c r="H6" s="2" t="s">
        <v>54</v>
      </c>
      <c r="I6" t="s">
        <v>791</v>
      </c>
      <c r="K6" s="2" t="s">
        <v>238</v>
      </c>
      <c r="L6" s="2">
        <f>COUNTIF(H:H,K6)</f>
        <v>8</v>
      </c>
      <c r="M6" s="2">
        <f>COUNTIFS('2025'!$P:$P,Summary!$K6,'2025'!J:J,"&lt;&gt;X6",'2025'!J:J,"&lt;&gt;X7")</f>
        <v>87</v>
      </c>
      <c r="N6" s="19">
        <f>SUMIFS(D:D,H:H,K6)</f>
        <v>0</v>
      </c>
      <c r="O6" s="2">
        <f>COUNTIFS('2025'!$P:$P,Summary!$K6,'2025'!$I:$I,X10)</f>
        <v>0</v>
      </c>
      <c r="P6" s="20">
        <f>SUMIFS(F:F,H:H,K6)</f>
        <v>45</v>
      </c>
      <c r="R6" s="32" t="s">
        <v>804</v>
      </c>
      <c r="S6" s="16">
        <f>SUM(S2:S5)</f>
        <v>70</v>
      </c>
      <c r="X6" s="382" t="s">
        <v>150</v>
      </c>
      <c r="Y6" t="s">
        <v>53</v>
      </c>
    </row>
    <row r="7" spans="1:27" x14ac:dyDescent="0.25">
      <c r="A7" s="24" t="s">
        <v>195</v>
      </c>
      <c r="B7" s="4" t="s">
        <v>790</v>
      </c>
      <c r="C7" s="2">
        <f>COUNTIF('2025'!F:F,Summary!A7)</f>
        <v>12</v>
      </c>
      <c r="D7" s="2">
        <f>COUNTIFS('2025'!F:F,Summary!A7,'2025'!J:J,$X$6)</f>
        <v>0</v>
      </c>
      <c r="E7" s="2">
        <f>COUNTIFS('2025'!F:F,Summary!A7,'2025'!J:J,$X$7)</f>
        <v>0</v>
      </c>
      <c r="F7" s="2">
        <f>COUNTIFS('2025'!F:F,Summary!A7,'2025'!J:J,"&lt;&gt;X7",'2025'!J:J,"&lt;&gt;X6")</f>
        <v>12</v>
      </c>
      <c r="G7" s="13">
        <f>SUMIFS('2025'!I:I,'2025'!F:F,Summary!A:A,'2025'!I:I,X11)</f>
        <v>0</v>
      </c>
      <c r="H7" s="2" t="s">
        <v>54</v>
      </c>
      <c r="I7" t="s">
        <v>791</v>
      </c>
      <c r="K7" s="14" t="s">
        <v>803</v>
      </c>
      <c r="L7" s="15">
        <v>2</v>
      </c>
      <c r="M7" s="2">
        <f>COUNTIFS('2025'!$P:$P,Summary!$K7,'2025'!J:J,"&lt;&gt;X6",'2025'!J:J,"&lt;&gt;X7")</f>
        <v>0</v>
      </c>
      <c r="N7" s="19">
        <f>SUMIFS(D:D,H:H,K7)</f>
        <v>0</v>
      </c>
      <c r="O7" s="2">
        <f>COUNTIFS('2025'!$P:$P,Summary!$K7,'2025'!$I:$I,X10)</f>
        <v>0</v>
      </c>
      <c r="P7" s="20">
        <f>SUMIFS(F:F,H:H,K7)</f>
        <v>0</v>
      </c>
      <c r="X7" s="382" t="s">
        <v>1615</v>
      </c>
      <c r="Y7" t="s">
        <v>22</v>
      </c>
    </row>
    <row r="8" spans="1:27" x14ac:dyDescent="0.25">
      <c r="A8" s="23" t="s">
        <v>19</v>
      </c>
      <c r="B8" s="4" t="s">
        <v>790</v>
      </c>
      <c r="C8" s="2">
        <f>COUNTIF('2025'!F:F,Summary!A8)</f>
        <v>9</v>
      </c>
      <c r="D8" s="2">
        <f>COUNTIFS('2025'!F:F,Summary!A8,'2025'!J:J,$X$6)</f>
        <v>0</v>
      </c>
      <c r="E8" s="2">
        <f>COUNTIFS('2025'!F:F,Summary!A8,'2025'!J:J,$X$7)</f>
        <v>0</v>
      </c>
      <c r="F8" s="2">
        <f>COUNTIFS('2025'!F:F,Summary!A8,'2025'!J:J,"&lt;&gt;X7",'2025'!J:J,"&lt;&gt;X6")</f>
        <v>9</v>
      </c>
      <c r="G8" s="13">
        <f>SUMIFS('2025'!I:I,'2025'!F:F,Summary!A:A,'2025'!I:I,X12)</f>
        <v>0</v>
      </c>
      <c r="H8" s="2" t="s">
        <v>54</v>
      </c>
      <c r="I8" t="s">
        <v>791</v>
      </c>
      <c r="K8" s="14" t="s">
        <v>805</v>
      </c>
      <c r="L8" s="2">
        <f>COUNTIFS(B:B,R3)+COUNTIFS(B:B,R4)+COUNTIFS(B:B,R5)</f>
        <v>36</v>
      </c>
      <c r="M8" s="2">
        <f>SUMIFS(C:C,B:B,""&lt;&gt;R2)</f>
        <v>0</v>
      </c>
      <c r="N8" s="2"/>
      <c r="O8" s="2"/>
      <c r="P8" s="2"/>
      <c r="R8" s="33"/>
      <c r="X8" s="382" t="s">
        <v>175</v>
      </c>
      <c r="Y8" t="s">
        <v>806</v>
      </c>
    </row>
    <row r="9" spans="1:27" x14ac:dyDescent="0.25">
      <c r="A9" s="24" t="s">
        <v>115</v>
      </c>
      <c r="B9" s="4" t="s">
        <v>790</v>
      </c>
      <c r="C9" s="2">
        <f>COUNTIF('2025'!F:F,Summary!A9)</f>
        <v>3</v>
      </c>
      <c r="D9" s="2">
        <f>COUNTIFS('2025'!F:F,Summary!A9,'2025'!J:J,$X$6)</f>
        <v>0</v>
      </c>
      <c r="E9" s="2">
        <f>COUNTIFS('2025'!F:F,Summary!A9,'2025'!J:J,$X$7)</f>
        <v>0</v>
      </c>
      <c r="F9" s="2">
        <f>COUNTIFS('2025'!F:F,Summary!A9,'2025'!J:J,"&lt;&gt;X7",'2025'!J:J,"&lt;&gt;X6")</f>
        <v>3</v>
      </c>
      <c r="G9" s="13">
        <f>SUMIFS('2025'!I:I,'2025'!F:F,Summary!A:A,'2025'!I:I,X13)</f>
        <v>0</v>
      </c>
      <c r="H9" s="2" t="s">
        <v>24</v>
      </c>
      <c r="I9" t="s">
        <v>791</v>
      </c>
      <c r="K9" s="17" t="s">
        <v>804</v>
      </c>
      <c r="L9" s="17">
        <f>SUM(L3:L8)</f>
        <v>69</v>
      </c>
      <c r="M9" s="17">
        <f>SUM(M3:M5)</f>
        <v>316</v>
      </c>
      <c r="N9" s="17">
        <f>SUM(N3:N7)</f>
        <v>0</v>
      </c>
      <c r="O9" s="17">
        <f>SUM(O3:O5)</f>
        <v>0</v>
      </c>
      <c r="P9" s="17">
        <f>SUM(P3:P5)</f>
        <v>211</v>
      </c>
      <c r="R9" s="33"/>
      <c r="X9" s="382" t="s">
        <v>1618</v>
      </c>
      <c r="Y9" t="s">
        <v>807</v>
      </c>
    </row>
    <row r="10" spans="1:27" x14ac:dyDescent="0.25">
      <c r="A10" s="23" t="s">
        <v>366</v>
      </c>
      <c r="B10" s="4" t="s">
        <v>790</v>
      </c>
      <c r="C10" s="2">
        <f>COUNTIF('2025'!F:F,Summary!A10)</f>
        <v>16</v>
      </c>
      <c r="D10" s="2">
        <f>COUNTIFS('2025'!F:F,Summary!A10,'2025'!J:J,$X$6)</f>
        <v>0</v>
      </c>
      <c r="E10" s="2">
        <f>COUNTIFS('2025'!F:F,Summary!A10,'2025'!J:J,$X$7)</f>
        <v>0</v>
      </c>
      <c r="F10" s="2">
        <f>COUNTIFS('2025'!F:F,Summary!A10,'2025'!J:J,"&lt;&gt;X7",'2025'!J:J,"&lt;&gt;X6")</f>
        <v>16</v>
      </c>
      <c r="G10" s="13">
        <f>SUMIFS('2025'!I:I,'2025'!F:F,Summary!A:A,'2025'!I:I,X14)</f>
        <v>0</v>
      </c>
      <c r="H10" s="2" t="s">
        <v>24</v>
      </c>
      <c r="I10" t="s">
        <v>791</v>
      </c>
      <c r="R10" s="33"/>
      <c r="X10" s="382" t="s">
        <v>1622</v>
      </c>
      <c r="Y10" t="s">
        <v>106</v>
      </c>
    </row>
    <row r="11" spans="1:27" x14ac:dyDescent="0.25">
      <c r="A11" s="24" t="s">
        <v>262</v>
      </c>
      <c r="B11" s="4" t="s">
        <v>790</v>
      </c>
      <c r="C11" s="2">
        <f>COUNTIF('2025'!F:F,Summary!A11)</f>
        <v>11</v>
      </c>
      <c r="D11" s="2">
        <f>COUNTIFS('2025'!F:F,Summary!A11,'2025'!J:J,$X$6)</f>
        <v>0</v>
      </c>
      <c r="E11" s="2">
        <f>COUNTIFS('2025'!F:F,Summary!A11,'2025'!J:J,$X$7)</f>
        <v>0</v>
      </c>
      <c r="F11" s="2">
        <f>COUNTIFS('2025'!F:F,Summary!A11,'2025'!J:J,"&lt;&gt;X7",'2025'!J:J,"&lt;&gt;X6")</f>
        <v>11</v>
      </c>
      <c r="G11" s="13">
        <f>SUMIFS('2025'!I:I,'2025'!F:F,Summary!A:A,'2025'!I:I,X15)</f>
        <v>0</v>
      </c>
      <c r="H11" s="2" t="s">
        <v>24</v>
      </c>
      <c r="I11" t="s">
        <v>791</v>
      </c>
      <c r="R11" s="33"/>
      <c r="Y11" t="s">
        <v>808</v>
      </c>
    </row>
    <row r="12" spans="1:27" x14ac:dyDescent="0.25">
      <c r="A12" s="26" t="s">
        <v>809</v>
      </c>
      <c r="B12" s="4" t="s">
        <v>790</v>
      </c>
      <c r="C12" s="2">
        <f>COUNTIF('2025'!F:F,Summary!A12)</f>
        <v>0</v>
      </c>
      <c r="D12" s="2">
        <f>COUNTIFS('2025'!F:F,Summary!A12,'2025'!J:J,$X$6)</f>
        <v>0</v>
      </c>
      <c r="E12" s="2">
        <f>COUNTIFS('2025'!F:F,Summary!A12,'2025'!J:J,$X$7)</f>
        <v>0</v>
      </c>
      <c r="F12" s="2">
        <f>COUNTIFS('2025'!F:F,Summary!A12,'2025'!J:J,"&lt;&gt;X7",'2025'!J:J,"&lt;&gt;X6")</f>
        <v>0</v>
      </c>
      <c r="G12" s="13">
        <f>SUMIFS('2025'!I:I,'2025'!F:F,Summary!A:A,'2025'!I:I,X16)</f>
        <v>0</v>
      </c>
      <c r="H12" s="2" t="s">
        <v>238</v>
      </c>
      <c r="I12" t="s">
        <v>791</v>
      </c>
      <c r="Y12" t="s">
        <v>810</v>
      </c>
    </row>
    <row r="13" spans="1:27" x14ac:dyDescent="0.25">
      <c r="A13" s="222" t="s">
        <v>811</v>
      </c>
      <c r="B13" s="4" t="s">
        <v>790</v>
      </c>
      <c r="C13" s="2">
        <f>COUNTIF('2025'!F:F,Summary!A13)</f>
        <v>0</v>
      </c>
      <c r="D13" s="2">
        <f>COUNTIFS('2025'!F:F,Summary!A13,'2025'!J:J,$X$6)</f>
        <v>0</v>
      </c>
      <c r="E13" s="2">
        <f>COUNTIFS('2025'!F:F,Summary!A13,'2025'!J:J,$X$7)</f>
        <v>0</v>
      </c>
      <c r="F13" s="2">
        <f>COUNTIFS('2025'!F:F,Summary!A13,'2025'!J:J,"&lt;&gt;X7",'2025'!J:J,"&lt;&gt;X6")</f>
        <v>0</v>
      </c>
      <c r="G13" s="13">
        <f>SUMIFS('2025'!I:I,'2025'!F:F,Summary!A:A,'2025'!I:I,X17)</f>
        <v>0</v>
      </c>
      <c r="H13" s="2" t="s">
        <v>238</v>
      </c>
      <c r="I13" t="s">
        <v>791</v>
      </c>
      <c r="Y13" t="s">
        <v>285</v>
      </c>
    </row>
    <row r="14" spans="1:27" x14ac:dyDescent="0.25">
      <c r="A14" s="23" t="s">
        <v>33</v>
      </c>
      <c r="B14" s="4" t="s">
        <v>790</v>
      </c>
      <c r="C14" s="2">
        <f>COUNTIF('2025'!F:F,Summary!A14)</f>
        <v>13</v>
      </c>
      <c r="D14" s="2">
        <f>COUNTIFS('2025'!F:F,Summary!A14,'2025'!J:J,$X$6)</f>
        <v>0</v>
      </c>
      <c r="E14" s="2">
        <f>COUNTIFS('2025'!F:F,Summary!A14,'2025'!J:J,$X$7)</f>
        <v>1</v>
      </c>
      <c r="F14" s="2">
        <f>COUNTIFS('2025'!F:F,Summary!A14,'2025'!J:J,"&lt;&gt;X7",'2025'!J:J,"&lt;&gt;X6")</f>
        <v>13</v>
      </c>
      <c r="G14" s="13">
        <f>SUMIFS('2025'!I:I,'2025'!F:F,Summary!A:A,'2025'!I:I,X18)</f>
        <v>0</v>
      </c>
      <c r="H14" s="2" t="s">
        <v>24</v>
      </c>
      <c r="I14" t="s">
        <v>791</v>
      </c>
      <c r="Y14" t="s">
        <v>812</v>
      </c>
    </row>
    <row r="15" spans="1:27" x14ac:dyDescent="0.25">
      <c r="A15" s="24" t="s">
        <v>620</v>
      </c>
      <c r="B15" s="4" t="s">
        <v>790</v>
      </c>
      <c r="C15" s="2">
        <f>COUNTIF('2025'!F:F,Summary!A15)</f>
        <v>3</v>
      </c>
      <c r="D15" s="2">
        <f>COUNTIFS('2025'!F:F,Summary!A15,'2025'!J:J,$X$6)</f>
        <v>0</v>
      </c>
      <c r="E15" s="2">
        <f>COUNTIFS('2025'!F:F,Summary!A15,'2025'!J:J,$X$7)</f>
        <v>0</v>
      </c>
      <c r="F15" s="2">
        <f>COUNTIFS('2025'!F:F,Summary!A15,'2025'!J:J,"&lt;&gt;X7",'2025'!J:J,"&lt;&gt;X6")</f>
        <v>3</v>
      </c>
      <c r="G15" s="13">
        <f>SUMIFS('2025'!I:I,'2025'!F:F,Summary!A:A,'2025'!I:I,X19)</f>
        <v>0</v>
      </c>
      <c r="H15" s="2" t="s">
        <v>24</v>
      </c>
      <c r="I15" t="s">
        <v>791</v>
      </c>
      <c r="Y15" t="s">
        <v>69</v>
      </c>
    </row>
    <row r="16" spans="1:27" x14ac:dyDescent="0.25">
      <c r="A16" s="23" t="s">
        <v>67</v>
      </c>
      <c r="B16" s="4" t="s">
        <v>790</v>
      </c>
      <c r="C16" s="2">
        <f>COUNTIF('2025'!F:F,Summary!A16)</f>
        <v>7</v>
      </c>
      <c r="D16" s="2">
        <f>COUNTIFS('2025'!F:F,Summary!A16,'2025'!J:J,$X$6)</f>
        <v>0</v>
      </c>
      <c r="E16" s="2">
        <f>COUNTIFS('2025'!F:F,Summary!A16,'2025'!J:J,$X$7)</f>
        <v>1</v>
      </c>
      <c r="F16" s="2">
        <f>COUNTIFS('2025'!F:F,Summary!A16,'2025'!J:J,"&lt;&gt;X7",'2025'!J:J,"&lt;&gt;X6")</f>
        <v>7</v>
      </c>
      <c r="G16" s="13">
        <f>SUMIFS('2025'!I:I,'2025'!F:F,Summary!A:A,'2025'!I:I,X20)</f>
        <v>0</v>
      </c>
      <c r="H16" s="2" t="s">
        <v>24</v>
      </c>
      <c r="I16" t="s">
        <v>791</v>
      </c>
      <c r="Y16" t="s">
        <v>813</v>
      </c>
    </row>
    <row r="17" spans="1:25" x14ac:dyDescent="0.25">
      <c r="A17" s="26" t="s">
        <v>814</v>
      </c>
      <c r="B17" s="4" t="s">
        <v>790</v>
      </c>
      <c r="C17" s="2">
        <f>COUNTIF('2025'!F:F,Summary!A17)</f>
        <v>5</v>
      </c>
      <c r="D17" s="2">
        <f>COUNTIFS('2025'!F:F,Summary!A17,'2025'!J:J,$X$6)</f>
        <v>0</v>
      </c>
      <c r="E17" s="2">
        <f>COUNTIFS('2025'!F:F,Summary!A17,'2025'!J:J,$X$7)</f>
        <v>0</v>
      </c>
      <c r="F17" s="2">
        <f>COUNTIFS('2025'!F:F,Summary!A17,'2025'!J:J,"&lt;&gt;X7",'2025'!J:J,"&lt;&gt;X6")</f>
        <v>5</v>
      </c>
      <c r="G17" s="13">
        <f>SUMIFS('2025'!I:I,'2025'!F:F,Summary!A:A,'2025'!I:I,X21)</f>
        <v>0</v>
      </c>
      <c r="H17" s="2" t="s">
        <v>238</v>
      </c>
      <c r="I17" t="s">
        <v>791</v>
      </c>
      <c r="Y17" t="s">
        <v>815</v>
      </c>
    </row>
    <row r="18" spans="1:25" x14ac:dyDescent="0.25">
      <c r="A18" s="24" t="s">
        <v>85</v>
      </c>
      <c r="B18" s="4" t="s">
        <v>790</v>
      </c>
      <c r="C18" s="2">
        <f>COUNTIF('2025'!F:F,Summary!A18)</f>
        <v>13</v>
      </c>
      <c r="D18" s="2">
        <f>COUNTIFS('2025'!F:F,Summary!A18,'2025'!J:J,$X$6)</f>
        <v>0</v>
      </c>
      <c r="E18" s="2">
        <f>COUNTIFS('2025'!F:F,Summary!A18,'2025'!J:J,$X$7)</f>
        <v>1</v>
      </c>
      <c r="F18" s="2">
        <f>COUNTIFS('2025'!F:F,Summary!A18,'2025'!J:J,"&lt;&gt;X7",'2025'!J:J,"&lt;&gt;X6")</f>
        <v>13</v>
      </c>
      <c r="G18" s="13">
        <f>SUMIFS('2025'!I:I,'2025'!F:F,Summary!A:A,'2025'!I:I,X22)</f>
        <v>0</v>
      </c>
      <c r="H18" s="2" t="s">
        <v>24</v>
      </c>
      <c r="I18" t="s">
        <v>791</v>
      </c>
      <c r="Y18" t="s">
        <v>816</v>
      </c>
    </row>
    <row r="19" spans="1:25" x14ac:dyDescent="0.25">
      <c r="A19" s="24" t="s">
        <v>52</v>
      </c>
      <c r="B19" s="4" t="s">
        <v>790</v>
      </c>
      <c r="C19" s="2">
        <f>COUNTIF('2025'!F:F,Summary!A19)</f>
        <v>15</v>
      </c>
      <c r="D19" s="2">
        <f>COUNTIFS('2025'!F:F,Summary!A19,'2025'!J:J,$X$6)</f>
        <v>0</v>
      </c>
      <c r="E19" s="2">
        <f>COUNTIFS('2025'!F:F,Summary!A19,'2025'!J:J,$X$7)</f>
        <v>0</v>
      </c>
      <c r="F19" s="2">
        <f>COUNTIFS('2025'!F:F,Summary!A19,'2025'!J:J,"&lt;&gt;X7",'2025'!J:J,"&lt;&gt;X6")</f>
        <v>15</v>
      </c>
      <c r="G19" s="13">
        <f>SUMIFS('2025'!I:I,'2025'!F:F,Summary!A:A,'2025'!I:I,X23)</f>
        <v>0</v>
      </c>
      <c r="H19" s="2" t="s">
        <v>54</v>
      </c>
      <c r="I19" t="s">
        <v>791</v>
      </c>
      <c r="Y19" t="s">
        <v>817</v>
      </c>
    </row>
    <row r="20" spans="1:25" x14ac:dyDescent="0.25">
      <c r="A20" s="24" t="s">
        <v>140</v>
      </c>
      <c r="B20" s="4" t="s">
        <v>790</v>
      </c>
      <c r="C20" s="2">
        <f>COUNTIF('2025'!F:F,Summary!A20)</f>
        <v>4</v>
      </c>
      <c r="D20" s="2">
        <f>COUNTIFS('2025'!F:F,Summary!A20,'2025'!J:J,$X$6)</f>
        <v>0</v>
      </c>
      <c r="E20" s="2">
        <f>COUNTIFS('2025'!F:F,Summary!A20,'2025'!J:J,$X$7)</f>
        <v>0</v>
      </c>
      <c r="F20" s="2">
        <f>COUNTIFS('2025'!F:F,Summary!A20,'2025'!J:J,"&lt;&gt;X7",'2025'!J:J,"&lt;&gt;X6")</f>
        <v>4</v>
      </c>
      <c r="G20" s="13">
        <f>SUMIFS('2025'!I:I,'2025'!F:F,Summary!A:A,'2025'!I:I,X24)</f>
        <v>0</v>
      </c>
      <c r="H20" s="2" t="s">
        <v>54</v>
      </c>
      <c r="I20" t="s">
        <v>791</v>
      </c>
      <c r="Y20" t="s">
        <v>818</v>
      </c>
    </row>
    <row r="21" spans="1:25" x14ac:dyDescent="0.25">
      <c r="A21" s="222" t="s">
        <v>819</v>
      </c>
      <c r="B21" s="4" t="s">
        <v>790</v>
      </c>
      <c r="C21" s="2">
        <f>COUNTIF('2025'!F:F,Summary!A21)</f>
        <v>1</v>
      </c>
      <c r="D21" s="2">
        <f>COUNTIFS('2025'!F:F,Summary!A21,'2025'!J:J,$X$6)</f>
        <v>0</v>
      </c>
      <c r="E21" s="2">
        <f>COUNTIFS('2025'!F:F,Summary!A21,'2025'!J:J,$X$7)</f>
        <v>0</v>
      </c>
      <c r="F21" s="2">
        <f>COUNTIFS('2025'!F:F,Summary!A21,'2025'!J:J,"&lt;&gt;X7",'2025'!J:J,"&lt;&gt;X6")</f>
        <v>1</v>
      </c>
      <c r="G21" s="13">
        <f>SUMIFS('2025'!I:I,'2025'!F:F,Summary!A:A,'2025'!I:I,X25)</f>
        <v>0</v>
      </c>
      <c r="H21" s="2" t="s">
        <v>238</v>
      </c>
      <c r="I21" t="s">
        <v>795</v>
      </c>
      <c r="Y21" t="s">
        <v>44</v>
      </c>
    </row>
    <row r="22" spans="1:25" x14ac:dyDescent="0.25">
      <c r="A22" s="83" t="s">
        <v>196</v>
      </c>
      <c r="B22" s="4" t="s">
        <v>790</v>
      </c>
      <c r="C22" s="2">
        <f>COUNTIF('2025'!F:F,Summary!A22)</f>
        <v>3</v>
      </c>
      <c r="D22" s="2">
        <f>COUNTIFS('2025'!F:F,Summary!A22,'2025'!J:J,$X$6)</f>
        <v>0</v>
      </c>
      <c r="E22" s="2">
        <f>COUNTIFS('2025'!F:F,Summary!A22,'2025'!J:J,$X$7)</f>
        <v>0</v>
      </c>
      <c r="F22" s="2">
        <f>COUNTIFS('2025'!F:F,Summary!A22,'2025'!J:J,"&lt;&gt;X7",'2025'!J:J,"&lt;&gt;X6")</f>
        <v>3</v>
      </c>
      <c r="G22" s="13">
        <f>SUMIFS('2025'!I:I,'2025'!F:F,Summary!A:A,'2025'!I:I,X26)</f>
        <v>0</v>
      </c>
      <c r="H22" s="2" t="s">
        <v>54</v>
      </c>
      <c r="I22" t="s">
        <v>791</v>
      </c>
      <c r="Y22" t="s">
        <v>40</v>
      </c>
    </row>
    <row r="23" spans="1:25" x14ac:dyDescent="0.25">
      <c r="A23" s="222" t="s">
        <v>169</v>
      </c>
      <c r="B23" s="4" t="s">
        <v>790</v>
      </c>
      <c r="C23" s="2">
        <f>COUNTIF('2025'!F:F,Summary!A23)</f>
        <v>1</v>
      </c>
      <c r="D23" s="2">
        <f>COUNTIFS('2025'!F:F,Summary!A23,'2025'!J:J,$X$6)</f>
        <v>0</v>
      </c>
      <c r="E23" s="2">
        <f>COUNTIFS('2025'!F:F,Summary!A23,'2025'!J:J,$X$7)</f>
        <v>0</v>
      </c>
      <c r="F23" s="2">
        <f>COUNTIFS('2025'!F:F,Summary!A23,'2025'!J:J,"&lt;&gt;X7",'2025'!J:J,"&lt;&gt;X6")</f>
        <v>1</v>
      </c>
      <c r="G23" s="13">
        <f>SUMIFS('2025'!I:I,'2025'!F:F,Summary!A:A,'2025'!I:I,X27)</f>
        <v>0</v>
      </c>
      <c r="H23" s="2" t="s">
        <v>238</v>
      </c>
      <c r="I23" t="s">
        <v>791</v>
      </c>
      <c r="Q23" s="380" t="s">
        <v>1605</v>
      </c>
      <c r="R23" s="382" t="s">
        <v>1606</v>
      </c>
      <c r="S23" s="382" t="s">
        <v>1607</v>
      </c>
      <c r="Y23" t="s">
        <v>820</v>
      </c>
    </row>
    <row r="24" spans="1:25" x14ac:dyDescent="0.25">
      <c r="A24" s="24" t="s">
        <v>57</v>
      </c>
      <c r="B24" s="4" t="s">
        <v>790</v>
      </c>
      <c r="C24" s="2">
        <f>COUNTIF('2025'!F:F,Summary!A24)</f>
        <v>7</v>
      </c>
      <c r="D24" s="2">
        <f>COUNTIFS('2025'!F:F,Summary!A24,'2025'!J:J,$X$6)</f>
        <v>0</v>
      </c>
      <c r="E24" s="2">
        <f>COUNTIFS('2025'!F:F,Summary!A24,'2025'!J:J,$X$7)</f>
        <v>0</v>
      </c>
      <c r="F24" s="2">
        <f>COUNTIFS('2025'!F:F,Summary!A24,'2025'!J:J,"&lt;&gt;X7",'2025'!J:J,"&lt;&gt;X6")</f>
        <v>7</v>
      </c>
      <c r="G24" s="13">
        <f>SUMIFS('2025'!I:I,'2025'!F:F,Summary!A:A,'2025'!I:I,X28)</f>
        <v>0</v>
      </c>
      <c r="H24" s="2" t="s">
        <v>54</v>
      </c>
      <c r="I24" t="s">
        <v>791</v>
      </c>
      <c r="P24" t="s">
        <v>1626</v>
      </c>
      <c r="Q24" s="381">
        <v>1</v>
      </c>
      <c r="R24" s="382" t="s">
        <v>1608</v>
      </c>
      <c r="S24" s="383" t="s">
        <v>1609</v>
      </c>
    </row>
    <row r="25" spans="1:25" x14ac:dyDescent="0.25">
      <c r="A25" s="24" t="s">
        <v>821</v>
      </c>
      <c r="B25" s="4" t="s">
        <v>790</v>
      </c>
      <c r="C25" s="2">
        <f>COUNTIF('2025'!F:F,Summary!A25)</f>
        <v>0</v>
      </c>
      <c r="D25" s="2">
        <f>COUNTIFS('2025'!F:F,Summary!A25,'2025'!J:J,$X$6)</f>
        <v>0</v>
      </c>
      <c r="E25" s="2">
        <f>COUNTIFS('2025'!F:F,Summary!A25,'2025'!J:J,$X$7)</f>
        <v>0</v>
      </c>
      <c r="F25" s="2">
        <f>COUNTIFS('2025'!F:F,Summary!A25,'2025'!J:J,"&lt;&gt;X7",'2025'!J:J,"&lt;&gt;X6")</f>
        <v>0</v>
      </c>
      <c r="G25" s="13">
        <f>SUMIFS('2025'!I:I,'2025'!F:F,Summary!A:A,'2025'!I:I,X29)</f>
        <v>0</v>
      </c>
      <c r="H25" s="2" t="s">
        <v>24</v>
      </c>
      <c r="I25" t="s">
        <v>791</v>
      </c>
      <c r="P25" t="s">
        <v>1627</v>
      </c>
      <c r="Q25" s="381">
        <v>2</v>
      </c>
      <c r="R25" s="382" t="s">
        <v>1610</v>
      </c>
      <c r="S25" s="383" t="s">
        <v>1620</v>
      </c>
    </row>
    <row r="26" spans="1:25" x14ac:dyDescent="0.25">
      <c r="A26" s="252" t="s">
        <v>147</v>
      </c>
      <c r="B26" s="4" t="s">
        <v>790</v>
      </c>
      <c r="C26" s="2">
        <f>COUNTIF('2025'!F:F,Summary!A26)</f>
        <v>11</v>
      </c>
      <c r="D26" s="2">
        <f>COUNTIFS('2025'!F:F,Summary!A26,'2025'!J:J,$X$6)</f>
        <v>0</v>
      </c>
      <c r="E26" s="2">
        <f>COUNTIFS('2025'!F:F,Summary!A26,'2025'!J:J,$X$7)</f>
        <v>1</v>
      </c>
      <c r="F26" s="2">
        <f>COUNTIFS('2025'!F:F,Summary!A26,'2025'!J:J,"&lt;&gt;X7",'2025'!J:J,"&lt;&gt;X6")</f>
        <v>11</v>
      </c>
      <c r="G26" s="13">
        <f>SUMIFS('2025'!I:I,'2025'!F:F,Summary!A:A,'2025'!I:I,X30)</f>
        <v>0</v>
      </c>
      <c r="H26" s="2" t="s">
        <v>54</v>
      </c>
      <c r="I26" t="s">
        <v>791</v>
      </c>
      <c r="P26" t="s">
        <v>1629</v>
      </c>
      <c r="Q26" s="381">
        <v>3</v>
      </c>
      <c r="R26" s="382" t="s">
        <v>1611</v>
      </c>
      <c r="S26" s="383" t="s">
        <v>1612</v>
      </c>
    </row>
    <row r="27" spans="1:25" x14ac:dyDescent="0.25">
      <c r="A27" s="24" t="s">
        <v>324</v>
      </c>
      <c r="B27" s="4" t="s">
        <v>790</v>
      </c>
      <c r="C27" s="2">
        <f>COUNTIF('2025'!F:F,Summary!A27)</f>
        <v>5</v>
      </c>
      <c r="D27" s="2">
        <f>COUNTIFS('2025'!F:F,Summary!A27,'2025'!J:J,$X$6)</f>
        <v>0</v>
      </c>
      <c r="E27" s="2">
        <f>COUNTIFS('2025'!F:F,Summary!A27,'2025'!J:J,$X$7)</f>
        <v>0</v>
      </c>
      <c r="F27" s="2">
        <f>COUNTIFS('2025'!F:F,Summary!A27,'2025'!J:J,"&lt;&gt;X7",'2025'!J:J,"&lt;&gt;X6")</f>
        <v>5</v>
      </c>
      <c r="G27" s="13">
        <f>SUMIFS('2025'!I:I,'2025'!F:F,Summary!A:A,'2025'!I:I,X31)</f>
        <v>0</v>
      </c>
      <c r="H27" s="2" t="s">
        <v>54</v>
      </c>
      <c r="I27" t="s">
        <v>791</v>
      </c>
      <c r="P27" t="s">
        <v>1628</v>
      </c>
      <c r="Q27" s="381">
        <v>4</v>
      </c>
      <c r="R27" s="382" t="s">
        <v>1613</v>
      </c>
      <c r="S27" s="383" t="s">
        <v>1614</v>
      </c>
    </row>
    <row r="28" spans="1:25" x14ac:dyDescent="0.25">
      <c r="A28" s="23" t="s">
        <v>822</v>
      </c>
      <c r="B28" s="4" t="s">
        <v>790</v>
      </c>
      <c r="C28" s="2">
        <f>COUNTIF('2025'!F:F,Summary!A28)</f>
        <v>5</v>
      </c>
      <c r="D28" s="2">
        <f>COUNTIFS('2025'!F:F,Summary!A28,'2025'!J:J,$X$6)</f>
        <v>0</v>
      </c>
      <c r="E28" s="2">
        <f>COUNTIFS('2025'!F:F,Summary!A28,'2025'!J:J,$X$7)</f>
        <v>0</v>
      </c>
      <c r="F28" s="2">
        <f>COUNTIFS('2025'!F:F,Summary!A28,'2025'!J:J,"&lt;&gt;X7",'2025'!J:J,"&lt;&gt;X6")</f>
        <v>5</v>
      </c>
      <c r="G28" s="13">
        <f>SUMIFS('2025'!I:I,'2025'!F:F,Summary!A:A,'2025'!I:I,X32)</f>
        <v>0</v>
      </c>
      <c r="H28" s="2" t="s">
        <v>54</v>
      </c>
      <c r="I28" t="s">
        <v>791</v>
      </c>
      <c r="P28" t="s">
        <v>1630</v>
      </c>
      <c r="Q28" s="381">
        <v>5</v>
      </c>
      <c r="R28" s="382" t="s">
        <v>150</v>
      </c>
      <c r="S28" s="383" t="s">
        <v>1621</v>
      </c>
    </row>
    <row r="29" spans="1:25" x14ac:dyDescent="0.25">
      <c r="A29" s="23" t="s">
        <v>118</v>
      </c>
      <c r="B29" s="4" t="s">
        <v>790</v>
      </c>
      <c r="C29" s="2">
        <f>COUNTIF('2025'!F:F,Summary!A29)</f>
        <v>4</v>
      </c>
      <c r="D29" s="2">
        <f>COUNTIFS('2025'!F:F,Summary!A29,'2025'!J:J,$X$6)</f>
        <v>0</v>
      </c>
      <c r="E29" s="2">
        <f>COUNTIFS('2025'!F:F,Summary!A29,'2025'!J:J,$X$7)</f>
        <v>0</v>
      </c>
      <c r="F29" s="2">
        <f>COUNTIFS('2025'!F:F,Summary!A29,'2025'!J:J,"&lt;&gt;X7",'2025'!J:J,"&lt;&gt;X6")</f>
        <v>4</v>
      </c>
      <c r="G29" s="13">
        <f>SUMIFS('2025'!I:I,'2025'!F:F,Summary!A:A,'2025'!I:I,X33)</f>
        <v>0</v>
      </c>
      <c r="H29" s="2" t="s">
        <v>24</v>
      </c>
      <c r="I29" t="s">
        <v>795</v>
      </c>
      <c r="Q29" s="381">
        <v>6</v>
      </c>
      <c r="R29" s="382" t="s">
        <v>1615</v>
      </c>
      <c r="S29" s="383" t="s">
        <v>1616</v>
      </c>
    </row>
    <row r="30" spans="1:25" x14ac:dyDescent="0.25">
      <c r="A30" s="304" t="s">
        <v>288</v>
      </c>
      <c r="B30" s="4" t="s">
        <v>790</v>
      </c>
      <c r="C30" s="2">
        <f>COUNTIF('2025'!F:F,Summary!A30)</f>
        <v>3</v>
      </c>
      <c r="D30" s="2">
        <f>COUNTIFS('2025'!F:F,Summary!A30,'2025'!J:J,$X$6)</f>
        <v>0</v>
      </c>
      <c r="E30" s="2">
        <f>COUNTIFS('2025'!F:F,Summary!A30,'2025'!J:J,$X$7)</f>
        <v>0</v>
      </c>
      <c r="F30" s="2">
        <f>COUNTIFS('2025'!F:F,Summary!A30,'2025'!J:J,"&lt;&gt;X7",'2025'!J:J,"&lt;&gt;X6")</f>
        <v>3</v>
      </c>
      <c r="G30" s="13">
        <f>SUMIFS('2025'!I:I,'2025'!F:F,Summary!A:A,'2025'!I:I,X34)</f>
        <v>0</v>
      </c>
      <c r="H30" s="2" t="s">
        <v>54</v>
      </c>
      <c r="I30" t="s">
        <v>795</v>
      </c>
      <c r="Q30" s="381">
        <v>7</v>
      </c>
      <c r="R30" s="382" t="s">
        <v>175</v>
      </c>
      <c r="S30" s="383" t="s">
        <v>1617</v>
      </c>
    </row>
    <row r="31" spans="1:25" x14ac:dyDescent="0.25">
      <c r="A31" s="30" t="s">
        <v>318</v>
      </c>
      <c r="B31" s="4" t="s">
        <v>790</v>
      </c>
      <c r="C31" s="2">
        <f>COUNTIF('2025'!F:F,Summary!A31)</f>
        <v>1</v>
      </c>
      <c r="D31" s="2">
        <f>COUNTIFS('2025'!F:F,Summary!A31,'2025'!J:J,$X$6)</f>
        <v>0</v>
      </c>
      <c r="E31" s="2">
        <f>COUNTIFS('2025'!F:F,Summary!A31,'2025'!J:J,$X$7)</f>
        <v>0</v>
      </c>
      <c r="F31" s="2">
        <f>COUNTIFS('2025'!F:F,Summary!A31,'2025'!J:J,"&lt;&gt;X7",'2025'!J:J,"&lt;&gt;X6")</f>
        <v>1</v>
      </c>
      <c r="G31" s="13">
        <f>SUMIFS('2025'!I:I,'2025'!F:F,Summary!A:A,'2025'!I:I,X35)</f>
        <v>0</v>
      </c>
      <c r="H31" s="2"/>
      <c r="I31" t="s">
        <v>795</v>
      </c>
      <c r="Q31" s="381">
        <v>8</v>
      </c>
      <c r="R31" s="382" t="s">
        <v>1618</v>
      </c>
      <c r="S31" s="383" t="s">
        <v>1619</v>
      </c>
    </row>
    <row r="32" spans="1:25" x14ac:dyDescent="0.25">
      <c r="A32" s="2" t="s">
        <v>823</v>
      </c>
      <c r="B32" s="268" t="s">
        <v>790</v>
      </c>
      <c r="C32" s="2">
        <f>COUNTIF('2025'!F:F,Summary!A32)</f>
        <v>0</v>
      </c>
      <c r="D32" s="2">
        <f>COUNTIFS('2025'!F:F,Summary!A32,'2025'!J:J,$X$6)</f>
        <v>0</v>
      </c>
      <c r="E32" s="2">
        <f>COUNTIFS('2025'!F:F,Summary!A32,'2025'!J:J,$X$7)</f>
        <v>0</v>
      </c>
      <c r="F32" s="2">
        <f>COUNTIFS('2025'!F:F,Summary!A32,'2025'!J:J,"&lt;&gt;X7",'2025'!J:J,"&lt;&gt;X6")</f>
        <v>0</v>
      </c>
      <c r="G32" s="13">
        <f>SUMIFS('2025'!I:I,'2025'!F:F,Summary!A:A,'2025'!I:I,X36)</f>
        <v>0</v>
      </c>
      <c r="H32" s="2" t="s">
        <v>54</v>
      </c>
      <c r="I32" t="s">
        <v>795</v>
      </c>
      <c r="Q32" s="381">
        <v>9</v>
      </c>
      <c r="R32" s="382" t="s">
        <v>1622</v>
      </c>
      <c r="S32" s="383" t="s">
        <v>1623</v>
      </c>
    </row>
    <row r="33" spans="1:9" x14ac:dyDescent="0.25">
      <c r="A33" s="2" t="s">
        <v>218</v>
      </c>
      <c r="B33" s="4" t="s">
        <v>790</v>
      </c>
      <c r="C33" s="2">
        <f>COUNTIF('2025'!F:F,Summary!A33)</f>
        <v>7</v>
      </c>
      <c r="D33" s="2">
        <f>COUNTIFS('2025'!F:F,Summary!A33,'2025'!J:J,$X$6)</f>
        <v>0</v>
      </c>
      <c r="E33" s="2">
        <f>COUNTIFS('2025'!F:F,Summary!A33,'2025'!J:J,$X$7)</f>
        <v>0</v>
      </c>
      <c r="F33" s="2">
        <f>COUNTIFS('2025'!F:F,Summary!A33,'2025'!J:J,"&lt;&gt;X7",'2025'!J:J,"&lt;&gt;X6")</f>
        <v>7</v>
      </c>
      <c r="G33" s="13">
        <f>SUMIFS('2025'!I:I,'2025'!F:F,Summary!A:A,'2025'!I:I,X37)</f>
        <v>0</v>
      </c>
      <c r="H33" s="2" t="s">
        <v>54</v>
      </c>
      <c r="I33" t="s">
        <v>791</v>
      </c>
    </row>
    <row r="34" spans="1:9" x14ac:dyDescent="0.25">
      <c r="A34" s="305" t="s">
        <v>824</v>
      </c>
      <c r="B34" s="4" t="s">
        <v>790</v>
      </c>
      <c r="C34" s="2">
        <f>COUNTIF('2025'!F:F,Summary!A34)</f>
        <v>0</v>
      </c>
      <c r="D34" s="2">
        <f>COUNTIFS('2025'!F:F,Summary!A34,'2025'!J:J,$X$6)</f>
        <v>0</v>
      </c>
      <c r="E34" s="2">
        <f>COUNTIFS('2025'!F:F,Summary!A34,'2025'!J:J,$X$7)</f>
        <v>0</v>
      </c>
      <c r="F34" s="2">
        <f>COUNTIFS('2025'!F:F,Summary!A34,'2025'!J:J,"&lt;&gt;X7",'2025'!J:J,"&lt;&gt;X6")</f>
        <v>0</v>
      </c>
      <c r="G34" s="13">
        <f>SUMIFS('2025'!I:I,'2025'!F:F,Summary!A:A,'2025'!I:I,X38)</f>
        <v>0</v>
      </c>
      <c r="H34" s="2"/>
      <c r="I34" t="s">
        <v>795</v>
      </c>
    </row>
    <row r="35" spans="1:9" x14ac:dyDescent="0.25">
      <c r="A35" s="2" t="s">
        <v>758</v>
      </c>
      <c r="B35" s="2" t="s">
        <v>790</v>
      </c>
      <c r="C35" s="2">
        <f>COUNTIF('2025'!F:F,Summary!A35)</f>
        <v>3</v>
      </c>
      <c r="D35" s="2">
        <f>COUNTIFS('2025'!F:F,Summary!A35,'2025'!J:J,$X$6)</f>
        <v>0</v>
      </c>
      <c r="E35" s="2">
        <f>COUNTIFS('2025'!F:F,Summary!A35,'2025'!J:J,$X$7)</f>
        <v>0</v>
      </c>
      <c r="F35" s="2">
        <f>COUNTIFS('2025'!F:F,Summary!A35,'2025'!J:J,"&lt;&gt;X7",'2025'!J:J,"&lt;&gt;X6")</f>
        <v>3</v>
      </c>
      <c r="G35" s="13">
        <f>SUMIFS('2025'!I:I,'2025'!F:F,Summary!A:A,'2025'!I:I,X39)</f>
        <v>0</v>
      </c>
      <c r="H35" s="2"/>
      <c r="I35" t="s">
        <v>795</v>
      </c>
    </row>
    <row r="36" spans="1:9" x14ac:dyDescent="0.25">
      <c r="A36" s="253" t="s">
        <v>224</v>
      </c>
      <c r="B36" s="4" t="s">
        <v>797</v>
      </c>
      <c r="C36" s="2">
        <f>COUNTIF('2025'!F:F,Summary!A36)</f>
        <v>1</v>
      </c>
      <c r="D36" s="2">
        <f>COUNTIFS('2025'!F:F,Summary!A36,'2025'!J:J,$X$6)</f>
        <v>0</v>
      </c>
      <c r="E36" s="2">
        <f>COUNTIFS('2025'!F:F,Summary!A36,'2025'!J:J,$X$7)</f>
        <v>0</v>
      </c>
      <c r="F36" s="2">
        <f>COUNTIFS('2025'!F:F,Summary!A36,'2025'!J:J,"&lt;&gt;X7",'2025'!J:J,"&lt;&gt;X6")</f>
        <v>1</v>
      </c>
      <c r="G36" s="13">
        <f>SUMIFS('2025'!I:I,'2025'!F:F,Summary!A:A,'2025'!I:I,X40)</f>
        <v>0</v>
      </c>
      <c r="H36" s="2"/>
      <c r="I36" t="s">
        <v>795</v>
      </c>
    </row>
    <row r="37" spans="1:9" x14ac:dyDescent="0.25">
      <c r="A37" s="24" t="s">
        <v>438</v>
      </c>
      <c r="B37" s="4" t="s">
        <v>797</v>
      </c>
      <c r="C37" s="2">
        <f>COUNTIF('2025'!F:F,Summary!A37)</f>
        <v>3</v>
      </c>
      <c r="D37" s="2">
        <f>COUNTIFS('2025'!F:F,Summary!A37,'2025'!J:J,$X$6)</f>
        <v>0</v>
      </c>
      <c r="E37" s="2">
        <f>COUNTIFS('2025'!F:F,Summary!A37,'2025'!J:J,$X$7)</f>
        <v>0</v>
      </c>
      <c r="F37" s="2">
        <f>COUNTIFS('2025'!F:F,Summary!A37,'2025'!J:J,"&lt;&gt;X7",'2025'!J:J,"&lt;&gt;X6")</f>
        <v>3</v>
      </c>
      <c r="G37" s="13">
        <f>SUMIFS('2025'!I:I,'2025'!F:F,Summary!A:A,'2025'!I:I,X41)</f>
        <v>0</v>
      </c>
      <c r="H37" s="2"/>
      <c r="I37" t="s">
        <v>795</v>
      </c>
    </row>
    <row r="38" spans="1:9" x14ac:dyDescent="0.25">
      <c r="A38" s="23" t="s">
        <v>390</v>
      </c>
      <c r="B38" s="4" t="s">
        <v>797</v>
      </c>
      <c r="C38" s="2">
        <f>COUNTIF('2025'!F:F,Summary!A38)</f>
        <v>1</v>
      </c>
      <c r="D38" s="2">
        <f>COUNTIFS('2025'!F:F,Summary!A38,'2025'!J:J,$X$6)</f>
        <v>0</v>
      </c>
      <c r="E38" s="2">
        <f>COUNTIFS('2025'!F:F,Summary!A38,'2025'!J:J,$X$7)</f>
        <v>0</v>
      </c>
      <c r="F38" s="2">
        <f>COUNTIFS('2025'!F:F,Summary!A38,'2025'!J:J,"&lt;&gt;X7",'2025'!J:J,"&lt;&gt;X6")</f>
        <v>1</v>
      </c>
      <c r="G38" s="13">
        <f>SUMIFS('2025'!I:I,'2025'!F:F,Summary!A:A,'2025'!I:I,X42)</f>
        <v>0</v>
      </c>
      <c r="H38" s="2"/>
      <c r="I38" t="s">
        <v>795</v>
      </c>
    </row>
    <row r="39" spans="1:9" x14ac:dyDescent="0.25">
      <c r="A39" s="23" t="s">
        <v>249</v>
      </c>
      <c r="B39" s="4" t="s">
        <v>797</v>
      </c>
      <c r="C39" s="2">
        <f>COUNTIF('2025'!F:F,Summary!A39)</f>
        <v>1</v>
      </c>
      <c r="D39" s="2">
        <f>COUNTIFS('2025'!F:F,Summary!A39,'2025'!J:J,$X$6)</f>
        <v>0</v>
      </c>
      <c r="E39" s="2">
        <f>COUNTIFS('2025'!F:F,Summary!A39,'2025'!J:J,$X$7)</f>
        <v>0</v>
      </c>
      <c r="F39" s="2">
        <f>COUNTIFS('2025'!F:F,Summary!A39,'2025'!J:J,"&lt;&gt;X7",'2025'!J:J,"&lt;&gt;X6")</f>
        <v>1</v>
      </c>
      <c r="G39" s="13">
        <f>SUMIFS('2025'!I:I,'2025'!F:F,Summary!A:A,'2025'!I:I,X43)</f>
        <v>0</v>
      </c>
      <c r="H39" s="2"/>
      <c r="I39" t="s">
        <v>795</v>
      </c>
    </row>
    <row r="40" spans="1:9" x14ac:dyDescent="0.25">
      <c r="A40" s="254" t="s">
        <v>825</v>
      </c>
      <c r="B40" s="4" t="s">
        <v>797</v>
      </c>
      <c r="C40" s="2">
        <f>COUNTIF('2025'!F:F,Summary!A40)</f>
        <v>0</v>
      </c>
      <c r="D40" s="2">
        <f>COUNTIFS('2025'!F:F,Summary!A40,'2025'!J:J,$X$6)</f>
        <v>0</v>
      </c>
      <c r="E40" s="2">
        <f>COUNTIFS('2025'!F:F,Summary!A40,'2025'!J:J,$X$7)</f>
        <v>0</v>
      </c>
      <c r="F40" s="2">
        <f>COUNTIFS('2025'!F:F,Summary!A40,'2025'!J:J,"&lt;&gt;X7",'2025'!J:J,"&lt;&gt;X6")</f>
        <v>0</v>
      </c>
      <c r="G40" s="13">
        <f>SUMIFS('2025'!I:I,'2025'!F:F,Summary!A:A,'2025'!I:I,X44)</f>
        <v>0</v>
      </c>
      <c r="H40" s="2"/>
      <c r="I40" t="s">
        <v>795</v>
      </c>
    </row>
    <row r="41" spans="1:9" x14ac:dyDescent="0.25">
      <c r="A41" s="253" t="s">
        <v>394</v>
      </c>
      <c r="B41" s="4" t="s">
        <v>797</v>
      </c>
      <c r="C41" s="2">
        <f>COUNTIF('2025'!F:F,Summary!A41)</f>
        <v>1</v>
      </c>
      <c r="D41" s="2">
        <f>COUNTIFS('2025'!F:F,Summary!A41,'2025'!J:J,$X$6)</f>
        <v>0</v>
      </c>
      <c r="E41" s="2">
        <f>COUNTIFS('2025'!F:F,Summary!A41,'2025'!J:J,$X$7)</f>
        <v>0</v>
      </c>
      <c r="F41" s="2">
        <f>COUNTIFS('2025'!F:F,Summary!A41,'2025'!J:J,"&lt;&gt;X7",'2025'!J:J,"&lt;&gt;X6")</f>
        <v>1</v>
      </c>
      <c r="G41" s="13">
        <f>SUMIFS('2025'!I:I,'2025'!F:F,Summary!A:A,'2025'!I:I,X45)</f>
        <v>0</v>
      </c>
      <c r="H41" s="2"/>
      <c r="I41" t="s">
        <v>795</v>
      </c>
    </row>
    <row r="42" spans="1:9" x14ac:dyDescent="0.25">
      <c r="A42" s="24" t="s">
        <v>62</v>
      </c>
      <c r="B42" s="4" t="s">
        <v>797</v>
      </c>
      <c r="C42" s="2">
        <f>COUNTIF('2025'!F:F,Summary!A42)</f>
        <v>1</v>
      </c>
      <c r="D42" s="2">
        <f>COUNTIFS('2025'!F:F,Summary!A42,'2025'!J:J,$X$6)</f>
        <v>0</v>
      </c>
      <c r="E42" s="2">
        <f>COUNTIFS('2025'!F:F,Summary!A42,'2025'!J:J,$X$7)</f>
        <v>0</v>
      </c>
      <c r="F42" s="2">
        <f>COUNTIFS('2025'!F:F,Summary!A42,'2025'!J:J,"&lt;&gt;X7",'2025'!J:J,"&lt;&gt;X6")</f>
        <v>1</v>
      </c>
      <c r="G42" s="13">
        <f>SUMIFS('2025'!I:I,'2025'!F:F,Summary!A:A,'2025'!I:I,X46)</f>
        <v>0</v>
      </c>
      <c r="H42" s="2"/>
      <c r="I42" t="s">
        <v>795</v>
      </c>
    </row>
    <row r="43" spans="1:9" x14ac:dyDescent="0.25">
      <c r="A43" s="255" t="s">
        <v>174</v>
      </c>
      <c r="B43" s="4" t="s">
        <v>797</v>
      </c>
      <c r="C43" s="2">
        <f>COUNTIF('2025'!F:F,Summary!A43)</f>
        <v>2</v>
      </c>
      <c r="D43" s="2">
        <f>COUNTIFS('2025'!F:F,Summary!A43,'2025'!J:J,$X$6)</f>
        <v>0</v>
      </c>
      <c r="E43" s="2">
        <f>COUNTIFS('2025'!F:F,Summary!A43,'2025'!J:J,$X$7)</f>
        <v>0</v>
      </c>
      <c r="F43" s="2">
        <f>COUNTIFS('2025'!F:F,Summary!A43,'2025'!J:J,"&lt;&gt;X7",'2025'!J:J,"&lt;&gt;X6")</f>
        <v>2</v>
      </c>
      <c r="G43" s="13">
        <f>SUMIFS('2025'!I:I,'2025'!F:F,Summary!A:A,'2025'!I:I,X47)</f>
        <v>0</v>
      </c>
      <c r="H43" s="2"/>
      <c r="I43" t="s">
        <v>795</v>
      </c>
    </row>
    <row r="44" spans="1:9" x14ac:dyDescent="0.25">
      <c r="A44" s="2" t="s">
        <v>210</v>
      </c>
      <c r="B44" s="4" t="s">
        <v>797</v>
      </c>
      <c r="C44" s="2">
        <f>COUNTIF('2025'!F:F,Summary!A44)</f>
        <v>0</v>
      </c>
      <c r="D44" s="2">
        <f>COUNTIFS('2025'!F:F,Summary!A44,'2025'!J:J,$X$6)</f>
        <v>0</v>
      </c>
      <c r="E44" s="2">
        <f>COUNTIFS('2025'!F:F,Summary!A44,'2025'!J:J,$X$7)</f>
        <v>0</v>
      </c>
      <c r="F44" s="2">
        <f>COUNTIFS('2025'!F:F,Summary!A44,'2025'!J:J,"&lt;&gt;X7",'2025'!J:J,"&lt;&gt;X6")</f>
        <v>0</v>
      </c>
      <c r="G44" s="13">
        <f>SUMIFS('2025'!I:I,'2025'!F:F,Summary!A:A,'2025'!I:I,X48)</f>
        <v>0</v>
      </c>
      <c r="H44" s="2"/>
      <c r="I44" t="s">
        <v>795</v>
      </c>
    </row>
    <row r="45" spans="1:9" x14ac:dyDescent="0.25">
      <c r="A45" s="2" t="s">
        <v>826</v>
      </c>
      <c r="B45" s="4" t="s">
        <v>797</v>
      </c>
      <c r="C45" s="2">
        <f>COUNTIF('2025'!F:F,Summary!A45)</f>
        <v>0</v>
      </c>
      <c r="D45" s="2">
        <f>COUNTIFS('2025'!F:F,Summary!A45,'2025'!J:J,$X$6)</f>
        <v>0</v>
      </c>
      <c r="E45" s="2">
        <f>COUNTIFS('2025'!F:F,Summary!A45,'2025'!J:J,$X$7)</f>
        <v>0</v>
      </c>
      <c r="F45" s="2">
        <f>COUNTIFS('2025'!F:F,Summary!A45,'2025'!J:J,"&lt;&gt;X7",'2025'!J:J,"&lt;&gt;X6")</f>
        <v>0</v>
      </c>
      <c r="G45" s="13">
        <f>SUMIFS('2025'!I:I,'2025'!F:F,Summary!A:A,'2025'!I:I,X49)</f>
        <v>0</v>
      </c>
      <c r="H45" s="2"/>
      <c r="I45" t="s">
        <v>795</v>
      </c>
    </row>
    <row r="46" spans="1:9" x14ac:dyDescent="0.25">
      <c r="A46" s="47" t="s">
        <v>827</v>
      </c>
      <c r="B46" s="4" t="s">
        <v>797</v>
      </c>
      <c r="C46" s="2">
        <f>COUNTIF('2025'!F:F,Summary!A46)</f>
        <v>0</v>
      </c>
      <c r="D46" s="2">
        <f>COUNTIFS('2025'!F:F,Summary!A46,'2025'!J:J,$X$6)</f>
        <v>0</v>
      </c>
      <c r="E46" s="2">
        <f>COUNTIFS('2025'!F:F,Summary!A46,'2025'!J:J,$X$7)</f>
        <v>0</v>
      </c>
      <c r="F46" s="2">
        <f>COUNTIFS('2025'!F:F,Summary!A46,'2025'!J:J,"&lt;&gt;X7",'2025'!J:J,"&lt;&gt;X6")</f>
        <v>0</v>
      </c>
      <c r="G46" s="13">
        <f>SUMIFS('2025'!I:I,'2025'!F:F,Summary!A:A,'2025'!I:I,X50)</f>
        <v>0</v>
      </c>
      <c r="H46" s="2"/>
      <c r="I46" t="s">
        <v>795</v>
      </c>
    </row>
    <row r="47" spans="1:9" x14ac:dyDescent="0.25">
      <c r="A47" s="2" t="s">
        <v>828</v>
      </c>
      <c r="B47" s="4" t="s">
        <v>797</v>
      </c>
      <c r="C47" s="2">
        <f>COUNTIF('2025'!F:F,Summary!A47)</f>
        <v>0</v>
      </c>
      <c r="D47" s="2">
        <f>COUNTIFS('2025'!F:F,Summary!A47,'2025'!J:J,$X$6)</f>
        <v>0</v>
      </c>
      <c r="E47" s="2">
        <f>COUNTIFS('2025'!F:F,Summary!A47,'2025'!J:J,$X$7)</f>
        <v>0</v>
      </c>
      <c r="F47" s="2">
        <f>COUNTIFS('2025'!F:F,Summary!A47,'2025'!J:J,"&lt;&gt;X7",'2025'!J:J,"&lt;&gt;X6")</f>
        <v>0</v>
      </c>
      <c r="G47" s="13">
        <f>SUMIFS('2025'!I:I,'2025'!F:F,Summary!A:A,'2025'!I:I,X51)</f>
        <v>0</v>
      </c>
      <c r="H47" s="2"/>
      <c r="I47" t="s">
        <v>795</v>
      </c>
    </row>
    <row r="48" spans="1:9" x14ac:dyDescent="0.25">
      <c r="A48" s="24" t="s">
        <v>829</v>
      </c>
      <c r="B48" s="4" t="s">
        <v>800</v>
      </c>
      <c r="C48" s="2">
        <f>COUNTIF('2025'!F:F,Summary!A48)</f>
        <v>0</v>
      </c>
      <c r="D48" s="2">
        <f>COUNTIFS('2025'!F:F,Summary!A48,'2025'!J:J,$X$6)</f>
        <v>0</v>
      </c>
      <c r="E48" s="2">
        <f>COUNTIFS('2025'!F:F,Summary!A48,'2025'!J:J,$X$7)</f>
        <v>0</v>
      </c>
      <c r="F48" s="2">
        <f>COUNTIFS('2025'!F:F,Summary!A48,'2025'!J:J,"&lt;&gt;X7",'2025'!J:J,"&lt;&gt;X6")</f>
        <v>0</v>
      </c>
      <c r="G48" s="13">
        <f>SUMIFS('2025'!I:I,'2025'!F:F,Summary!A:A,'2025'!I:I,X52)</f>
        <v>0</v>
      </c>
      <c r="H48" s="2"/>
      <c r="I48" t="s">
        <v>795</v>
      </c>
    </row>
    <row r="49" spans="1:9" x14ac:dyDescent="0.25">
      <c r="A49" s="23" t="s">
        <v>227</v>
      </c>
      <c r="B49" s="4" t="s">
        <v>800</v>
      </c>
      <c r="C49" s="2">
        <f>COUNTIF('2025'!F:F,Summary!A49)</f>
        <v>3</v>
      </c>
      <c r="D49" s="2">
        <f>COUNTIFS('2025'!F:F,Summary!A49,'2025'!J:J,$X$6)</f>
        <v>0</v>
      </c>
      <c r="E49" s="2">
        <f>COUNTIFS('2025'!F:F,Summary!A49,'2025'!J:J,$X$7)</f>
        <v>0</v>
      </c>
      <c r="F49" s="2">
        <f>COUNTIFS('2025'!F:F,Summary!A49,'2025'!J:J,"&lt;&gt;X7",'2025'!J:J,"&lt;&gt;X6")</f>
        <v>3</v>
      </c>
      <c r="G49" s="13">
        <f>SUMIFS('2025'!I:I,'2025'!F:F,Summary!A:A,'2025'!I:I,X53)</f>
        <v>0</v>
      </c>
      <c r="H49" s="2"/>
      <c r="I49" t="s">
        <v>795</v>
      </c>
    </row>
    <row r="50" spans="1:9" x14ac:dyDescent="0.25">
      <c r="A50" s="23" t="s">
        <v>265</v>
      </c>
      <c r="B50" s="4" t="s">
        <v>800</v>
      </c>
      <c r="C50" s="2">
        <f>COUNTIF('2025'!F:F,Summary!A50)</f>
        <v>1</v>
      </c>
      <c r="D50" s="2">
        <f>COUNTIFS('2025'!F:F,Summary!A50,'2025'!J:J,$X$6)</f>
        <v>0</v>
      </c>
      <c r="E50" s="2">
        <f>COUNTIFS('2025'!F:F,Summary!A50,'2025'!J:J,$X$7)</f>
        <v>0</v>
      </c>
      <c r="F50" s="2">
        <f>COUNTIFS('2025'!F:F,Summary!A50,'2025'!J:J,"&lt;&gt;X7",'2025'!J:J,"&lt;&gt;X6")</f>
        <v>1</v>
      </c>
      <c r="G50" s="13">
        <f>SUMIFS('2025'!I:I,'2025'!F:F,Summary!A:A,'2025'!I:I,X54)</f>
        <v>0</v>
      </c>
      <c r="H50" s="2"/>
      <c r="I50" t="s">
        <v>795</v>
      </c>
    </row>
    <row r="51" spans="1:9" x14ac:dyDescent="0.25">
      <c r="A51" s="23" t="s">
        <v>39</v>
      </c>
      <c r="B51" s="4" t="s">
        <v>800</v>
      </c>
      <c r="C51" s="2">
        <f>COUNTIF('2025'!F:F,Summary!A51)</f>
        <v>1</v>
      </c>
      <c r="D51" s="2">
        <f>COUNTIFS('2025'!F:F,Summary!A51,'2025'!J:J,$X$6)</f>
        <v>0</v>
      </c>
      <c r="E51" s="2">
        <f>COUNTIFS('2025'!F:F,Summary!A51,'2025'!J:J,$X$7)</f>
        <v>0</v>
      </c>
      <c r="F51" s="2">
        <f>COUNTIFS('2025'!F:F,Summary!A51,'2025'!J:J,"&lt;&gt;X7",'2025'!J:J,"&lt;&gt;X6")</f>
        <v>1</v>
      </c>
      <c r="G51" s="13">
        <f>SUMIFS('2025'!I:I,'2025'!F:F,Summary!A:A,'2025'!I:I,X55)</f>
        <v>0</v>
      </c>
      <c r="H51" s="2"/>
      <c r="I51" t="s">
        <v>795</v>
      </c>
    </row>
    <row r="52" spans="1:9" x14ac:dyDescent="0.25">
      <c r="A52" s="23" t="s">
        <v>205</v>
      </c>
      <c r="B52" s="4" t="s">
        <v>800</v>
      </c>
      <c r="C52" s="2">
        <f>COUNTIF('2025'!F:F,Summary!A52)</f>
        <v>1</v>
      </c>
      <c r="D52" s="2">
        <f>COUNTIFS('2025'!F:F,Summary!A52,'2025'!J:J,$X$6)</f>
        <v>0</v>
      </c>
      <c r="E52" s="2">
        <f>COUNTIFS('2025'!F:F,Summary!A52,'2025'!J:J,$X$7)</f>
        <v>0</v>
      </c>
      <c r="F52" s="2">
        <f>COUNTIFS('2025'!F:F,Summary!A52,'2025'!J:J,"&lt;&gt;X7",'2025'!J:J,"&lt;&gt;X6")</f>
        <v>1</v>
      </c>
      <c r="G52" s="13">
        <f>SUMIFS('2025'!I:I,'2025'!F:F,Summary!A:A,'2025'!I:I,X56)</f>
        <v>0</v>
      </c>
      <c r="H52" s="2"/>
      <c r="I52" t="s">
        <v>795</v>
      </c>
    </row>
    <row r="53" spans="1:9" x14ac:dyDescent="0.25">
      <c r="A53" s="24" t="s">
        <v>108</v>
      </c>
      <c r="B53" s="4" t="s">
        <v>800</v>
      </c>
      <c r="C53" s="2">
        <f>COUNTIF('2025'!F:F,Summary!A53)</f>
        <v>2</v>
      </c>
      <c r="D53" s="2">
        <f>COUNTIFS('2025'!F:F,Summary!A53,'2025'!J:J,$X$6)</f>
        <v>0</v>
      </c>
      <c r="E53" s="2">
        <f>COUNTIFS('2025'!F:F,Summary!A53,'2025'!J:J,$X$7)</f>
        <v>0</v>
      </c>
      <c r="F53" s="2">
        <f>COUNTIFS('2025'!F:F,Summary!A53,'2025'!J:J,"&lt;&gt;X7",'2025'!J:J,"&lt;&gt;X6")</f>
        <v>2</v>
      </c>
      <c r="G53" s="13">
        <f>SUMIFS('2025'!I:I,'2025'!F:F,Summary!A:A,'2025'!I:I,X57)</f>
        <v>0</v>
      </c>
      <c r="H53" s="2"/>
      <c r="I53" t="s">
        <v>795</v>
      </c>
    </row>
    <row r="54" spans="1:9" x14ac:dyDescent="0.25">
      <c r="A54" s="30" t="s">
        <v>402</v>
      </c>
      <c r="B54" s="4" t="s">
        <v>800</v>
      </c>
      <c r="C54" s="2">
        <f>COUNTIF('2025'!F:F,Summary!A54)</f>
        <v>1</v>
      </c>
      <c r="D54" s="2">
        <f>COUNTIFS('2025'!F:F,Summary!A54,'2025'!J:J,$X$6)</f>
        <v>0</v>
      </c>
      <c r="E54" s="2">
        <f>COUNTIFS('2025'!F:F,Summary!A54,'2025'!J:J,$X$7)</f>
        <v>0</v>
      </c>
      <c r="F54" s="2">
        <f>COUNTIFS('2025'!F:F,Summary!A54,'2025'!J:J,"&lt;&gt;X7",'2025'!J:J,"&lt;&gt;X6")</f>
        <v>1</v>
      </c>
      <c r="G54" s="13">
        <f>SUMIFS('2025'!I:I,'2025'!F:F,Summary!A:A,'2025'!I:I,X58)</f>
        <v>0</v>
      </c>
      <c r="H54" s="2"/>
      <c r="I54" t="s">
        <v>795</v>
      </c>
    </row>
    <row r="55" spans="1:9" x14ac:dyDescent="0.25">
      <c r="A55" s="2" t="s">
        <v>830</v>
      </c>
      <c r="B55" s="4" t="s">
        <v>800</v>
      </c>
      <c r="C55" s="2">
        <f>COUNTIF('2025'!F:F,Summary!A55)</f>
        <v>0</v>
      </c>
      <c r="D55" s="2">
        <f>COUNTIFS('2025'!F:F,Summary!A55,'2025'!J:J,$X$6)</f>
        <v>0</v>
      </c>
      <c r="E55" s="2">
        <f>COUNTIFS('2025'!F:F,Summary!A55,'2025'!J:J,$X$7)</f>
        <v>0</v>
      </c>
      <c r="F55" s="2">
        <f>COUNTIFS('2025'!F:F,Summary!A55,'2025'!J:J,"&lt;&gt;X7",'2025'!J:J,"&lt;&gt;X6")</f>
        <v>0</v>
      </c>
      <c r="G55" s="13">
        <f>SUMIFS('2025'!I:I,'2025'!F:F,Summary!A:A,'2025'!I:I,X59)</f>
        <v>0</v>
      </c>
      <c r="H55" s="2"/>
      <c r="I55" t="s">
        <v>795</v>
      </c>
    </row>
    <row r="56" spans="1:9" x14ac:dyDescent="0.25">
      <c r="A56" s="23" t="s">
        <v>74</v>
      </c>
      <c r="B56" s="4" t="s">
        <v>802</v>
      </c>
      <c r="C56" s="2">
        <f>COUNTIF('2025'!F:F,Summary!A56)</f>
        <v>4</v>
      </c>
      <c r="D56" s="2">
        <f>COUNTIFS('2025'!F:F,Summary!A56,'2025'!J:J,$X$6)</f>
        <v>0</v>
      </c>
      <c r="E56" s="2">
        <f>COUNTIFS('2025'!F:F,Summary!A56,'2025'!J:J,$X$7)</f>
        <v>0</v>
      </c>
      <c r="F56" s="2">
        <f>COUNTIFS('2025'!F:F,Summary!A56,'2025'!J:J,"&lt;&gt;X7",'2025'!J:J,"&lt;&gt;X6")</f>
        <v>4</v>
      </c>
      <c r="G56" s="13">
        <f>SUMIFS('2025'!I:I,'2025'!F:F,Summary!A:A,'2025'!I:I,X60)</f>
        <v>0</v>
      </c>
      <c r="H56" s="2"/>
      <c r="I56" t="s">
        <v>795</v>
      </c>
    </row>
    <row r="57" spans="1:9" x14ac:dyDescent="0.25">
      <c r="A57" s="23" t="s">
        <v>104</v>
      </c>
      <c r="B57" s="4" t="s">
        <v>802</v>
      </c>
      <c r="C57" s="2">
        <f>COUNTIF('2025'!F:F,Summary!A57)</f>
        <v>10</v>
      </c>
      <c r="D57" s="2">
        <f>COUNTIFS('2025'!F:F,Summary!A57,'2025'!J:J,$X$6)</f>
        <v>0</v>
      </c>
      <c r="E57" s="2">
        <f>COUNTIFS('2025'!F:F,Summary!A57,'2025'!J:J,$X$7)</f>
        <v>0</v>
      </c>
      <c r="F57" s="2">
        <f>COUNTIFS('2025'!F:F,Summary!A57,'2025'!J:J,"&lt;&gt;X7",'2025'!J:J,"&lt;&gt;X6")</f>
        <v>10</v>
      </c>
      <c r="G57" s="13">
        <f>SUMIFS('2025'!I:I,'2025'!F:F,Summary!A:A,'2025'!I:I,X61)</f>
        <v>0</v>
      </c>
      <c r="H57" s="2"/>
      <c r="I57" t="s">
        <v>795</v>
      </c>
    </row>
    <row r="58" spans="1:9" x14ac:dyDescent="0.25">
      <c r="A58" s="30" t="s">
        <v>208</v>
      </c>
      <c r="B58" s="4" t="s">
        <v>802</v>
      </c>
      <c r="C58" s="2">
        <f>COUNTIF('2025'!F:F,Summary!A58)</f>
        <v>5</v>
      </c>
      <c r="D58" s="2">
        <f>COUNTIFS('2025'!F:F,Summary!A58,'2025'!J:J,$X$6)</f>
        <v>0</v>
      </c>
      <c r="E58" s="2">
        <f>COUNTIFS('2025'!F:F,Summary!A58,'2025'!J:J,$X$7)</f>
        <v>0</v>
      </c>
      <c r="F58" s="2">
        <f>COUNTIFS('2025'!F:F,Summary!A58,'2025'!J:J,"&lt;&gt;X7",'2025'!J:J,"&lt;&gt;X6")</f>
        <v>5</v>
      </c>
      <c r="G58" s="13">
        <f>SUMIFS('2025'!I:I,'2025'!F:F,Summary!A:A,'2025'!I:I,X62)</f>
        <v>0</v>
      </c>
      <c r="H58" s="2"/>
      <c r="I58" t="s">
        <v>795</v>
      </c>
    </row>
    <row r="59" spans="1:9" x14ac:dyDescent="0.25">
      <c r="A59" s="24" t="s">
        <v>183</v>
      </c>
      <c r="B59" s="4" t="s">
        <v>802</v>
      </c>
      <c r="C59" s="2">
        <f>COUNTIF('2025'!F:F,Summary!A59)</f>
        <v>1</v>
      </c>
      <c r="D59" s="2">
        <f>COUNTIFS('2025'!F:F,Summary!A59,'2025'!J:J,$X$6)</f>
        <v>0</v>
      </c>
      <c r="E59" s="2">
        <f>COUNTIFS('2025'!F:F,Summary!A59,'2025'!J:J,$X$7)</f>
        <v>0</v>
      </c>
      <c r="F59" s="2">
        <f>COUNTIFS('2025'!F:F,Summary!A59,'2025'!J:J,"&lt;&gt;X7",'2025'!J:J,"&lt;&gt;X6")</f>
        <v>1</v>
      </c>
      <c r="G59" s="13">
        <f>SUMIFS('2025'!I:I,'2025'!F:F,Summary!A:A,'2025'!I:I,X63)</f>
        <v>0</v>
      </c>
      <c r="H59" s="2"/>
      <c r="I59" t="s">
        <v>795</v>
      </c>
    </row>
    <row r="60" spans="1:9" x14ac:dyDescent="0.25">
      <c r="A60" s="23" t="s">
        <v>831</v>
      </c>
      <c r="B60" s="4" t="s">
        <v>802</v>
      </c>
      <c r="C60" s="2">
        <f>COUNTIF('2025'!F:F,Summary!A60)</f>
        <v>0</v>
      </c>
      <c r="D60" s="2">
        <f>COUNTIFS('2025'!F:F,Summary!A60,'2025'!J:J,$X$6)</f>
        <v>0</v>
      </c>
      <c r="E60" s="2">
        <f>COUNTIFS('2025'!F:F,Summary!A60,'2025'!J:J,$X$7)</f>
        <v>0</v>
      </c>
      <c r="F60" s="2">
        <f>COUNTIFS('2025'!F:F,Summary!A60,'2025'!J:J,"&lt;&gt;X7",'2025'!J:J,"&lt;&gt;X6")</f>
        <v>0</v>
      </c>
      <c r="G60" s="13">
        <f>SUMIFS('2025'!I:I,'2025'!F:F,Summary!A:A,'2025'!I:I,X64)</f>
        <v>0</v>
      </c>
      <c r="H60" s="2"/>
      <c r="I60" t="s">
        <v>795</v>
      </c>
    </row>
    <row r="61" spans="1:9" x14ac:dyDescent="0.25">
      <c r="A61" s="23" t="s">
        <v>832</v>
      </c>
      <c r="B61" s="4" t="s">
        <v>802</v>
      </c>
      <c r="C61" s="2">
        <f>COUNTIF('2025'!F:F,Summary!A61)</f>
        <v>0</v>
      </c>
      <c r="D61" s="2">
        <f>COUNTIFS('2025'!F:F,Summary!A61,'2025'!J:J,$X$6)</f>
        <v>0</v>
      </c>
      <c r="E61" s="2">
        <f>COUNTIFS('2025'!F:F,Summary!A61,'2025'!J:J,$X$7)</f>
        <v>0</v>
      </c>
      <c r="F61" s="2">
        <f>COUNTIFS('2025'!F:F,Summary!A61,'2025'!J:J,"&lt;&gt;X7",'2025'!J:J,"&lt;&gt;X6")</f>
        <v>0</v>
      </c>
      <c r="G61" s="13">
        <f>SUMIFS('2025'!I:I,'2025'!F:F,Summary!A:A,'2025'!I:I,X65)</f>
        <v>0</v>
      </c>
      <c r="H61" s="2"/>
      <c r="I61" t="s">
        <v>795</v>
      </c>
    </row>
    <row r="62" spans="1:9" x14ac:dyDescent="0.25">
      <c r="A62" s="23" t="s">
        <v>43</v>
      </c>
      <c r="B62" s="4" t="s">
        <v>802</v>
      </c>
      <c r="C62" s="2">
        <f>COUNTIF('2025'!F:F,Summary!A62)</f>
        <v>1</v>
      </c>
      <c r="D62" s="2">
        <f>COUNTIFS('2025'!F:F,Summary!A62,'2025'!J:J,$X$6)</f>
        <v>0</v>
      </c>
      <c r="E62" s="2">
        <f>COUNTIFS('2025'!F:F,Summary!A62,'2025'!J:J,$X$7)</f>
        <v>0</v>
      </c>
      <c r="F62" s="2">
        <f>COUNTIFS('2025'!F:F,Summary!A62,'2025'!J:J,"&lt;&gt;X7",'2025'!J:J,"&lt;&gt;X6")</f>
        <v>1</v>
      </c>
      <c r="G62" s="13">
        <f>SUMIFS('2025'!I:I,'2025'!F:F,Summary!A:A,'2025'!I:I,X66)</f>
        <v>0</v>
      </c>
      <c r="H62" s="2"/>
      <c r="I62" t="s">
        <v>795</v>
      </c>
    </row>
    <row r="63" spans="1:9" x14ac:dyDescent="0.25">
      <c r="A63" s="23" t="s">
        <v>833</v>
      </c>
      <c r="B63" s="4" t="s">
        <v>802</v>
      </c>
      <c r="C63" s="2">
        <f>COUNTIF('2025'!F:F,Summary!A63)</f>
        <v>0</v>
      </c>
      <c r="D63" s="2">
        <f>COUNTIFS('2025'!F:F,Summary!A63,'2025'!J:J,$X$6)</f>
        <v>0</v>
      </c>
      <c r="E63" s="2">
        <f>COUNTIFS('2025'!F:F,Summary!A63,'2025'!J:J,$X$7)</f>
        <v>0</v>
      </c>
      <c r="F63" s="2">
        <f>COUNTIFS('2025'!F:F,Summary!A63,'2025'!J:J,"&lt;&gt;X7",'2025'!J:J,"&lt;&gt;X6")</f>
        <v>0</v>
      </c>
      <c r="G63" s="13">
        <f>SUMIFS('2025'!I:I,'2025'!F:F,Summary!A:A,'2025'!I:I,X67)</f>
        <v>0</v>
      </c>
      <c r="H63" s="2"/>
      <c r="I63" t="s">
        <v>795</v>
      </c>
    </row>
    <row r="64" spans="1:9" x14ac:dyDescent="0.25">
      <c r="A64" s="24" t="s">
        <v>834</v>
      </c>
      <c r="B64" s="4" t="s">
        <v>802</v>
      </c>
      <c r="C64" s="2">
        <f>COUNTIF('2025'!F:F,Summary!A64)</f>
        <v>0</v>
      </c>
      <c r="D64" s="2">
        <f>COUNTIFS('2025'!F:F,Summary!A64,'2025'!J:J,$X$6)</f>
        <v>0</v>
      </c>
      <c r="E64" s="2">
        <f>COUNTIFS('2025'!F:F,Summary!A64,'2025'!J:J,$X$7)</f>
        <v>0</v>
      </c>
      <c r="F64" s="2">
        <f>COUNTIFS('2025'!F:F,Summary!A64,'2025'!J:J,"&lt;&gt;X7",'2025'!J:J,"&lt;&gt;X6")</f>
        <v>0</v>
      </c>
      <c r="G64" s="13">
        <f>SUMIFS('2025'!I:I,'2025'!F:F,Summary!A:A,'2025'!I:I,X68)</f>
        <v>0</v>
      </c>
      <c r="H64" s="2"/>
      <c r="I64" t="s">
        <v>795</v>
      </c>
    </row>
    <row r="65" spans="1:9" x14ac:dyDescent="0.25">
      <c r="A65" s="23" t="s">
        <v>835</v>
      </c>
      <c r="B65" s="4" t="s">
        <v>802</v>
      </c>
      <c r="C65" s="2">
        <f>COUNTIF('2025'!F:F,Summary!A65)</f>
        <v>0</v>
      </c>
      <c r="D65" s="2">
        <f>COUNTIFS('2025'!F:F,Summary!A65,'2025'!J:J,$X$6)</f>
        <v>0</v>
      </c>
      <c r="E65" s="2">
        <f>COUNTIFS('2025'!F:F,Summary!A65,'2025'!J:J,$X$7)</f>
        <v>0</v>
      </c>
      <c r="F65" s="2">
        <f>COUNTIFS('2025'!F:F,Summary!A65,'2025'!J:J,"&lt;&gt;X7",'2025'!J:J,"&lt;&gt;X6")</f>
        <v>0</v>
      </c>
      <c r="G65" s="13">
        <f>SUMIFS('2025'!I:I,'2025'!F:F,Summary!A:A,'2025'!I:I,X69)</f>
        <v>0</v>
      </c>
      <c r="H65" s="2"/>
      <c r="I65" t="s">
        <v>795</v>
      </c>
    </row>
    <row r="66" spans="1:9" x14ac:dyDescent="0.25">
      <c r="A66" s="24" t="s">
        <v>123</v>
      </c>
      <c r="B66" s="4" t="s">
        <v>802</v>
      </c>
      <c r="C66" s="2">
        <f>COUNTIF('2025'!F:F,Summary!A66)</f>
        <v>3</v>
      </c>
      <c r="D66" s="2">
        <f>COUNTIFS('2025'!F:F,Summary!A66,'2025'!J:J,$X$6)</f>
        <v>0</v>
      </c>
      <c r="E66" s="2">
        <f>COUNTIFS('2025'!F:F,Summary!A66,'2025'!J:J,$X$7)</f>
        <v>0</v>
      </c>
      <c r="F66" s="2">
        <f>COUNTIFS('2025'!F:F,Summary!A66,'2025'!J:J,"&lt;&gt;X7",'2025'!J:J,"&lt;&gt;X6")</f>
        <v>3</v>
      </c>
      <c r="G66" s="13">
        <f>SUMIFS('2025'!I:I,'2025'!F:F,Summary!A:A,'2025'!I:I,X70)</f>
        <v>0</v>
      </c>
      <c r="H66" s="2"/>
      <c r="I66" t="s">
        <v>795</v>
      </c>
    </row>
    <row r="67" spans="1:9" x14ac:dyDescent="0.25">
      <c r="A67" s="2" t="s">
        <v>836</v>
      </c>
      <c r="B67" s="4" t="s">
        <v>802</v>
      </c>
      <c r="C67" s="2">
        <f>COUNTIF('2025'!F:F,Summary!A67)</f>
        <v>0</v>
      </c>
      <c r="D67" s="2">
        <f>COUNTIFS('2025'!F:F,Summary!A67,'2025'!J:J,$X$6)</f>
        <v>0</v>
      </c>
      <c r="E67" s="2">
        <f>COUNTIFS('2025'!F:F,Summary!A67,'2025'!J:J,$X$7)</f>
        <v>0</v>
      </c>
      <c r="F67" s="2">
        <f>COUNTIFS('2025'!F:F,Summary!A67,'2025'!J:J,"&lt;&gt;X7",'2025'!J:J,"&lt;&gt;X6")</f>
        <v>0</v>
      </c>
      <c r="G67" s="13">
        <f>SUMIFS('2025'!I:I,'2025'!F:F,Summary!A:A,'2025'!I:I,X71)</f>
        <v>0</v>
      </c>
      <c r="H67" s="2"/>
      <c r="I67" t="s">
        <v>795</v>
      </c>
    </row>
    <row r="68" spans="1:9" x14ac:dyDescent="0.25">
      <c r="A68" s="267" t="s">
        <v>744</v>
      </c>
      <c r="B68" s="2" t="s">
        <v>802</v>
      </c>
      <c r="C68" s="2">
        <f>COUNTIF('2025'!F:F,Summary!A68)</f>
        <v>1</v>
      </c>
      <c r="D68" s="2">
        <f>COUNTIFS('2025'!F:F,Summary!A68,'2025'!J:J,$X$6)</f>
        <v>0</v>
      </c>
      <c r="E68" s="2">
        <f>COUNTIFS('2025'!F:F,Summary!A68,'2025'!J:J,$X$7)</f>
        <v>0</v>
      </c>
      <c r="F68" s="2">
        <f>COUNTIFS('2025'!F:F,Summary!A68,'2025'!J:J,"&lt;&gt;X7",'2025'!J:J,"&lt;&gt;X6")</f>
        <v>1</v>
      </c>
      <c r="G68" s="13">
        <f>SUMIFS('2025'!I:I,'2025'!F:F,Summary!A:A,'2025'!I:I,X72)</f>
        <v>0</v>
      </c>
      <c r="H68" s="2"/>
      <c r="I68" t="s">
        <v>795</v>
      </c>
    </row>
    <row r="69" spans="1:9" x14ac:dyDescent="0.25">
      <c r="A69" t="s">
        <v>700</v>
      </c>
      <c r="B69" s="270" t="s">
        <v>802</v>
      </c>
      <c r="C69" s="2">
        <f>COUNTIF('2025'!F:F,Summary!A69)</f>
        <v>1</v>
      </c>
      <c r="D69" s="2">
        <f>COUNTIFS('2025'!F:F,Summary!A69,'2025'!J:J,$X$6)</f>
        <v>0</v>
      </c>
      <c r="E69" s="2">
        <f>COUNTIFS('2025'!F:F,Summary!A69,'2025'!J:J,$X$7)</f>
        <v>0</v>
      </c>
      <c r="F69" s="2">
        <f>COUNTIFS('2025'!F:F,Summary!A69,'2025'!J:J,"&lt;&gt;X7",'2025'!J:J,"&lt;&gt;X6")</f>
        <v>1</v>
      </c>
      <c r="G69" s="13">
        <f>SUMIFS('2025'!I:I,'2025'!F:F,Summary!A:A,'2025'!I:I,X73)</f>
        <v>0</v>
      </c>
      <c r="I69" t="s">
        <v>795</v>
      </c>
    </row>
    <row r="70" spans="1:9" x14ac:dyDescent="0.25">
      <c r="A70" t="s">
        <v>690</v>
      </c>
      <c r="B70" s="270" t="s">
        <v>802</v>
      </c>
      <c r="C70" s="2">
        <f>COUNTIF('2025'!F:F,Summary!A70)</f>
        <v>1</v>
      </c>
      <c r="D70" s="2">
        <f>COUNTIFS('2025'!F:F,Summary!A70,'2025'!J:J,$X$6)</f>
        <v>0</v>
      </c>
      <c r="E70" s="2">
        <f>COUNTIFS('2025'!F:F,Summary!A70,'2025'!J:J,$X$7)</f>
        <v>0</v>
      </c>
      <c r="F70" s="2">
        <f>COUNTIFS('2025'!F:F,Summary!A70,'2025'!J:J,"&lt;&gt;X7",'2025'!J:J,"&lt;&gt;X6")</f>
        <v>1</v>
      </c>
      <c r="G70" s="13">
        <f>SUMIFS('2025'!I:I,'2025'!F:F,Summary!A:A,'2025'!I:I,X74)</f>
        <v>0</v>
      </c>
      <c r="I70" t="s">
        <v>795</v>
      </c>
    </row>
    <row r="71" spans="1:9" x14ac:dyDescent="0.25">
      <c r="A71" t="s">
        <v>682</v>
      </c>
      <c r="B71" s="270" t="s">
        <v>802</v>
      </c>
      <c r="C71" s="2">
        <f>COUNTIF('2025'!F:F,Summary!A71)</f>
        <v>1</v>
      </c>
      <c r="D71" s="2">
        <f>COUNTIFS('2025'!F:F,Summary!A71,'2025'!J:J,$X$6)</f>
        <v>0</v>
      </c>
      <c r="E71" s="2">
        <f>COUNTIFS('2025'!F:F,Summary!A71,'2025'!J:J,$X$7)</f>
        <v>0</v>
      </c>
      <c r="F71" s="2">
        <f>COUNTIFS('2025'!F:F,Summary!A71,'2025'!J:J,"&lt;&gt;X7",'2025'!J:J,"&lt;&gt;X6")</f>
        <v>1</v>
      </c>
      <c r="G71" s="13">
        <f>SUMIFS('2025'!I:I,'2025'!F:F,Summary!A:A,'2025'!I:I,X75)</f>
        <v>0</v>
      </c>
      <c r="I71" t="s">
        <v>795</v>
      </c>
    </row>
  </sheetData>
  <sortState xmlns:xlrd2="http://schemas.microsoft.com/office/spreadsheetml/2017/richdata2" ref="A2:H55">
    <sortCondition ref="B2:B55"/>
    <sortCondition ref="A2:A55"/>
    <sortCondition descending="1" ref="G2:G55"/>
  </sortState>
  <mergeCells count="2">
    <mergeCell ref="K1:P1"/>
    <mergeCell ref="R1:S1"/>
  </mergeCells>
  <conditionalFormatting sqref="X1">
    <cfRule type="expression" dxfId="0" priority="693">
      <formula>CELL("merged",X1:AN199)</formula>
    </cfRule>
  </conditionalFormatting>
  <dataValidations count="1">
    <dataValidation type="list" allowBlank="1" showInputMessage="1" showErrorMessage="1" sqref="I2:I71" xr:uid="{1B892C51-2932-4FBC-B107-AD8503EBC7CC}">
      <formula1>"PH,AHS"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7CB13-696E-4B65-8DA3-6BC9448F6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E+H</vt:lpstr>
      <vt:lpstr>GIC</vt:lpstr>
      <vt:lpstr>Other brands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ASEEF S</dc:creator>
  <cp:keywords/>
  <dc:description/>
  <cp:lastModifiedBy>Abhie Kore</cp:lastModifiedBy>
  <cp:revision/>
  <dcterms:created xsi:type="dcterms:W3CDTF">2024-09-23T06:30:03Z</dcterms:created>
  <dcterms:modified xsi:type="dcterms:W3CDTF">2026-01-16T10:26:36Z</dcterms:modified>
  <cp:category/>
  <cp:contentStatus/>
</cp:coreProperties>
</file>